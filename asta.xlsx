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00" yWindow="960" windowWidth="36800" windowHeight="23700" tabRatio="500" firstSheet="0" activeTab="0" autoFilterDateGrouping="1"/>
  </bookViews>
  <sheets>
    <sheet xmlns:r="http://schemas.openxmlformats.org/officeDocument/2006/relationships" name="Asta" sheetId="1" state="visible" r:id="rId1"/>
    <sheet xmlns:r="http://schemas.openxmlformats.org/officeDocument/2006/relationships" name="Grafici" sheetId="2" state="visible" r:id="rId2"/>
    <sheet xmlns:r="http://schemas.openxmlformats.org/officeDocument/2006/relationships" name="Portieri" sheetId="3" state="visible" r:id="rId3"/>
    <sheet xmlns:r="http://schemas.openxmlformats.org/officeDocument/2006/relationships" name="Difensori" sheetId="4" state="visible" r:id="rId4"/>
    <sheet xmlns:r="http://schemas.openxmlformats.org/officeDocument/2006/relationships" name="Centrocampisti" sheetId="5" state="visible" r:id="rId5"/>
    <sheet xmlns:r="http://schemas.openxmlformats.org/officeDocument/2006/relationships" name="Attaccanti" sheetId="6" state="visible" r:id="rId6"/>
    <sheet xmlns:r="http://schemas.openxmlformats.org/officeDocument/2006/relationships" name="Listone" sheetId="7" state="visible" r:id="rId7"/>
  </sheets>
  <definedNames>
    <definedName name="_xlnm._FilterDatabase" localSheetId="6" hidden="1">'Listone'!$A$3:$F$500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7">
    <font>
      <name val="Calibri"/>
      <charset val="1"/>
      <family val="2"/>
      <color theme="1"/>
      <sz val="11"/>
    </font>
    <font>
      <name val="Arial"/>
      <charset val="1"/>
      <b val="1"/>
      <color rgb="FF1F3864"/>
      <sz val="16"/>
    </font>
    <font>
      <name val="Arial"/>
      <charset val="1"/>
      <i val="1"/>
      <color rgb="FF666666"/>
      <sz val="9"/>
    </font>
    <font>
      <name val="Arial"/>
      <charset val="1"/>
      <b val="1"/>
      <color rgb="FF000000"/>
      <sz val="10"/>
    </font>
    <font>
      <name val="Arial"/>
      <charset val="1"/>
      <b val="1"/>
      <color rgb="FF0000FF"/>
      <sz val="12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2"/>
    </font>
    <font>
      <name val="Arial"/>
      <charset val="1"/>
      <color rgb="FF000000"/>
      <sz val="10"/>
    </font>
    <font>
      <name val="Arial"/>
      <charset val="1"/>
      <b val="1"/>
      <color rgb="FF1F3864"/>
      <sz val="11"/>
    </font>
    <font>
      <name val="Arial"/>
      <charset val="1"/>
      <color rgb="FF000000"/>
      <sz val="9"/>
    </font>
    <font>
      <name val="Arial"/>
      <charset val="1"/>
      <i val="1"/>
      <color rgb="FF000000"/>
      <sz val="9"/>
    </font>
    <font>
      <name val="Arial"/>
      <charset val="1"/>
      <b val="1"/>
      <color rgb="FF1F3864"/>
      <sz val="10"/>
    </font>
    <font>
      <name val="Arial"/>
      <charset val="1"/>
      <i val="1"/>
      <color rgb="FF666666"/>
      <sz val="8"/>
    </font>
    <font>
      <name val="Arial"/>
      <charset val="1"/>
      <b val="1"/>
      <color rgb="FF1F3864"/>
      <sz val="13"/>
    </font>
    <font>
      <name val="Arial"/>
      <charset val="1"/>
      <b val="1"/>
      <color rgb="FF1F3864"/>
      <sz val="14"/>
    </font>
    <font>
      <name val="Arial"/>
      <charset val="1"/>
      <b val="1"/>
      <color rgb="FFFFFFFF"/>
      <sz val="11"/>
    </font>
    <font>
      <name val="Arial"/>
      <family val="2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C6E0B4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FFE699"/>
        <bgColor rgb="FFFFD966"/>
      </patternFill>
    </fill>
    <fill>
      <patternFill patternType="solid">
        <fgColor rgb="FFF8CBAD"/>
        <bgColor rgb="FFFFE699"/>
      </patternFill>
    </fill>
    <fill>
      <patternFill patternType="solid">
        <fgColor rgb="FFFFD966"/>
        <bgColor rgb="FFFFE699"/>
      </patternFill>
    </fill>
    <fill>
      <patternFill patternType="solid">
        <fgColor rgb="FFF2F2F2"/>
        <bgColor rgb="FFF9F9F9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5" fillId="3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3" fontId="3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center" vertical="center"/>
    </xf>
    <xf numFmtId="3" fontId="7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3" fontId="7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</cellXfs>
  <cellStyles count="1">
    <cellStyle name="Normale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FBFBF"/>
      <rgbColor rgb="FF878787"/>
      <rgbColor rgb="FF9999FF"/>
      <rgbColor rgb="FFBE4B48"/>
      <rgbColor rgb="FFF9F9F9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0B4"/>
      <rgbColor rgb="FFFFE699"/>
      <rgbColor rgb="FF99CCFF"/>
      <rgbColor rgb="FFFF99CC"/>
      <rgbColor rgb="FFCC99FF"/>
      <rgbColor rgb="FFF8CBAD"/>
      <rgbColor rgb="FF4F81BD"/>
      <rgbColor rgb="FF33CCCC"/>
      <rgbColor rgb="FF9BBB59"/>
      <rgbColor rgb="FFFFD966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Budget consigliato vs speso per reparto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Asta!$E$3</f>
              <strCache>
                <ptCount val="1"/>
                <pt idx="0">
                  <v>Budget consigliato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it-IT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Asta!$D$4:$D$7</f>
              <strCache>
                <ptCount val="4"/>
                <pt idx="0">
                  <v>P</v>
                </pt>
                <pt idx="1">
                  <v>D</v>
                </pt>
                <pt idx="2">
                  <v>C</v>
                </pt>
                <pt idx="3">
                  <v>A</v>
                </pt>
              </strCache>
            </strRef>
          </cat>
          <val>
            <numRef>
              <f>Asta!$E$4:$E$7</f>
              <numCache>
                <formatCode>#,##0</formatCode>
                <ptCount val="4"/>
                <pt idx="0">
                  <v>80</v>
                </pt>
                <pt idx="1">
                  <v>130</v>
                </pt>
                <pt idx="2">
                  <v>265</v>
                </pt>
                <pt idx="3">
                  <v>525</v>
                </pt>
              </numCache>
            </numRef>
          </val>
        </ser>
        <ser>
          <idx val="1"/>
          <order val="1"/>
          <tx>
            <strRef>
              <f>Asta!$F$3</f>
              <strCache>
                <ptCount val="1"/>
                <pt idx="0">
                  <v>Speso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it-IT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Asta!$D$4:$D$7</f>
              <strCache>
                <ptCount val="4"/>
                <pt idx="0">
                  <v>P</v>
                </pt>
                <pt idx="1">
                  <v>D</v>
                </pt>
                <pt idx="2">
                  <v>C</v>
                </pt>
                <pt idx="3">
                  <v>A</v>
                </pt>
              </strCache>
            </strRef>
          </cat>
          <val>
            <numRef>
              <f>Asta!$F$4:$F$7</f>
              <numCache>
                <formatCode>#,##0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653165"/>
        <axId val="50114434"/>
      </barChart>
      <catAx>
        <axId val="565316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it-IT"/>
          </a:p>
        </txPr>
        <crossAx val="50114434"/>
        <crosses val="autoZero"/>
        <auto val="1"/>
        <lblAlgn val="ctr"/>
        <lblOffset val="100"/>
        <noMultiLvlLbl val="0"/>
      </catAx>
      <valAx>
        <axId val="5011443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Crediti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it-IT"/>
          </a:p>
        </txPr>
        <crossAx val="565316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it-IT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Distribuzione della spesa effettiva per reparto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Asta!$F$3</f>
              <strCache>
                <ptCount val="1"/>
                <pt idx="0">
                  <v>Speso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  <a:endParaRPr lang="it-IT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  <a:endParaRPr lang="it-IT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  <a:endParaRPr lang="it-IT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  <a:endParaRPr lang="it-IT"/>
                </a:p>
              </txPr>
              <showLegendKey val="0"/>
              <showVal val="0"/>
              <showCatName val="0"/>
              <showSerName val="0"/>
              <showPercent val="0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it-IT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1"/>
          </dLbls>
          <cat>
            <strRef>
              <f>Asta!$D$4:$D$7</f>
              <strCache>
                <ptCount val="4"/>
                <pt idx="0">
                  <v>P</v>
                </pt>
                <pt idx="1">
                  <v>D</v>
                </pt>
                <pt idx="2">
                  <v>C</v>
                </pt>
                <pt idx="3">
                  <v>A</v>
                </pt>
              </strCache>
            </strRef>
          </cat>
          <val>
            <numRef>
              <f>Asta!$F$4:$F$7</f>
              <numCache>
                <formatCode>#,##0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it-IT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Crediti residui dopo ogni acquisto (in ordine di slot)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Asta!$J$16</f>
              <strCache>
                <ptCount val="1"/>
                <pt idx="0">
                  <v>Crediti residui dopo l'acquisto</v>
                </pt>
              </strCache>
            </strRef>
          </tx>
          <spPr>
            <a:ln xmlns:a="http://schemas.openxmlformats.org/drawingml/2006/main" w="4752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it-IT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Asta!$A$17:$A$41</f>
              <strCache>
                <ptCount val="25"/>
                <pt idx="0">
                  <v>P1</v>
                </pt>
                <pt idx="1">
                  <v>P2</v>
                </pt>
                <pt idx="2">
                  <v>P3</v>
                </pt>
                <pt idx="3">
                  <v>D1</v>
                </pt>
                <pt idx="4">
                  <v>D2</v>
                </pt>
                <pt idx="5">
                  <v>D3</v>
                </pt>
                <pt idx="6">
                  <v>D4</v>
                </pt>
                <pt idx="7">
                  <v>D5</v>
                </pt>
                <pt idx="8">
                  <v>D6</v>
                </pt>
                <pt idx="9">
                  <v>D7</v>
                </pt>
                <pt idx="10">
                  <v>D8</v>
                </pt>
                <pt idx="11">
                  <v>C1</v>
                </pt>
                <pt idx="12">
                  <v>C2</v>
                </pt>
                <pt idx="13">
                  <v>C3</v>
                </pt>
                <pt idx="14">
                  <v>C4</v>
                </pt>
                <pt idx="15">
                  <v>C5</v>
                </pt>
                <pt idx="16">
                  <v>C6</v>
                </pt>
                <pt idx="17">
                  <v>C7</v>
                </pt>
                <pt idx="18">
                  <v>C8</v>
                </pt>
                <pt idx="19">
                  <v>A1</v>
                </pt>
                <pt idx="20">
                  <v>A2</v>
                </pt>
                <pt idx="21">
                  <v>A3</v>
                </pt>
                <pt idx="22">
                  <v>A4</v>
                </pt>
                <pt idx="23">
                  <v>A5</v>
                </pt>
                <pt idx="24">
                  <v>A6</v>
                </pt>
              </strCache>
            </strRef>
          </cat>
          <val>
            <numRef>
              <f>Asta!$J$17:$J$41</f>
              <numCache>
                <formatCode>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92307103"/>
        <axId val="39991744"/>
      </lineChart>
      <catAx>
        <axId val="9230710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it-IT"/>
          </a:p>
        </txPr>
        <crossAx val="39991744"/>
        <crosses val="autoZero"/>
        <auto val="1"/>
        <lblAlgn val="ctr"/>
        <lblOffset val="100"/>
        <noMultiLvlLbl val="0"/>
      </catAx>
      <valAx>
        <axId val="3999174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Crediti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it-IT"/>
          </a:p>
        </txPr>
        <crossAx val="9230710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it-IT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Prezzo max consigliato vs pagato, slot per slot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Asta!$G$16</f>
              <strCache>
                <ptCount val="1"/>
                <pt idx="0">
                  <v>Prezzo max consigliato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it-IT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Asta!$A$17:$A$41</f>
              <strCache>
                <ptCount val="25"/>
                <pt idx="0">
                  <v>P1</v>
                </pt>
                <pt idx="1">
                  <v>P2</v>
                </pt>
                <pt idx="2">
                  <v>P3</v>
                </pt>
                <pt idx="3">
                  <v>D1</v>
                </pt>
                <pt idx="4">
                  <v>D2</v>
                </pt>
                <pt idx="5">
                  <v>D3</v>
                </pt>
                <pt idx="6">
                  <v>D4</v>
                </pt>
                <pt idx="7">
                  <v>D5</v>
                </pt>
                <pt idx="8">
                  <v>D6</v>
                </pt>
                <pt idx="9">
                  <v>D7</v>
                </pt>
                <pt idx="10">
                  <v>D8</v>
                </pt>
                <pt idx="11">
                  <v>C1</v>
                </pt>
                <pt idx="12">
                  <v>C2</v>
                </pt>
                <pt idx="13">
                  <v>C3</v>
                </pt>
                <pt idx="14">
                  <v>C4</v>
                </pt>
                <pt idx="15">
                  <v>C5</v>
                </pt>
                <pt idx="16">
                  <v>C6</v>
                </pt>
                <pt idx="17">
                  <v>C7</v>
                </pt>
                <pt idx="18">
                  <v>C8</v>
                </pt>
                <pt idx="19">
                  <v>A1</v>
                </pt>
                <pt idx="20">
                  <v>A2</v>
                </pt>
                <pt idx="21">
                  <v>A3</v>
                </pt>
                <pt idx="22">
                  <v>A4</v>
                </pt>
                <pt idx="23">
                  <v>A5</v>
                </pt>
                <pt idx="24">
                  <v>A6</v>
                </pt>
              </strCache>
            </strRef>
          </cat>
          <val>
            <numRef>
              <f>Asta!$G$17:$G$41</f>
              <numCache>
                <formatCode>#,##0</formatCode>
                <ptCount val="25"/>
                <pt idx="0">
                  <v>60</v>
                </pt>
                <pt idx="1">
                  <v>15</v>
                </pt>
                <pt idx="2">
                  <v>5</v>
                </pt>
                <pt idx="3">
                  <v>55</v>
                </pt>
                <pt idx="4">
                  <v>25</v>
                </pt>
                <pt idx="5">
                  <v>15</v>
                </pt>
                <pt idx="6">
                  <v>12</v>
                </pt>
                <pt idx="7">
                  <v>10</v>
                </pt>
                <pt idx="8">
                  <v>6</v>
                </pt>
                <pt idx="9">
                  <v>4</v>
                </pt>
                <pt idx="10">
                  <v>3</v>
                </pt>
                <pt idx="11">
                  <v>90</v>
                </pt>
                <pt idx="12">
                  <v>70</v>
                </pt>
                <pt idx="13">
                  <v>40</v>
                </pt>
                <pt idx="14">
                  <v>25</v>
                </pt>
                <pt idx="15">
                  <v>15</v>
                </pt>
                <pt idx="16">
                  <v>12</v>
                </pt>
                <pt idx="17">
                  <v>8</v>
                </pt>
                <pt idx="18">
                  <v>5</v>
                </pt>
                <pt idx="19">
                  <v>220</v>
                </pt>
                <pt idx="20">
                  <v>150</v>
                </pt>
                <pt idx="21">
                  <v>80</v>
                </pt>
                <pt idx="22">
                  <v>45</v>
                </pt>
                <pt idx="23">
                  <v>20</v>
                </pt>
                <pt idx="24">
                  <v>10</v>
                </pt>
              </numCache>
            </numRef>
          </val>
        </ser>
        <ser>
          <idx val="1"/>
          <order val="1"/>
          <tx>
            <strRef>
              <f>Asta!$I$16</f>
              <strCache>
                <ptCount val="1"/>
                <pt idx="0">
                  <v>Pagato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  <a:endParaRPr lang="it-IT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Asta!$A$17:$A$41</f>
              <strCache>
                <ptCount val="25"/>
                <pt idx="0">
                  <v>P1</v>
                </pt>
                <pt idx="1">
                  <v>P2</v>
                </pt>
                <pt idx="2">
                  <v>P3</v>
                </pt>
                <pt idx="3">
                  <v>D1</v>
                </pt>
                <pt idx="4">
                  <v>D2</v>
                </pt>
                <pt idx="5">
                  <v>D3</v>
                </pt>
                <pt idx="6">
                  <v>D4</v>
                </pt>
                <pt idx="7">
                  <v>D5</v>
                </pt>
                <pt idx="8">
                  <v>D6</v>
                </pt>
                <pt idx="9">
                  <v>D7</v>
                </pt>
                <pt idx="10">
                  <v>D8</v>
                </pt>
                <pt idx="11">
                  <v>C1</v>
                </pt>
                <pt idx="12">
                  <v>C2</v>
                </pt>
                <pt idx="13">
                  <v>C3</v>
                </pt>
                <pt idx="14">
                  <v>C4</v>
                </pt>
                <pt idx="15">
                  <v>C5</v>
                </pt>
                <pt idx="16">
                  <v>C6</v>
                </pt>
                <pt idx="17">
                  <v>C7</v>
                </pt>
                <pt idx="18">
                  <v>C8</v>
                </pt>
                <pt idx="19">
                  <v>A1</v>
                </pt>
                <pt idx="20">
                  <v>A2</v>
                </pt>
                <pt idx="21">
                  <v>A3</v>
                </pt>
                <pt idx="22">
                  <v>A4</v>
                </pt>
                <pt idx="23">
                  <v>A5</v>
                </pt>
                <pt idx="24">
                  <v>A6</v>
                </pt>
              </strCache>
            </strRef>
          </cat>
          <val>
            <numRef>
              <f>Asta!$I$17:$I$41</f>
              <numCache>
                <formatCode>#,##0</formatCode>
                <ptCount val="25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629519"/>
        <axId val="90429282"/>
      </barChart>
      <catAx>
        <axId val="1162951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it-IT"/>
          </a:p>
        </txPr>
        <crossAx val="90429282"/>
        <crosses val="autoZero"/>
        <auto val="1"/>
        <lblAlgn val="ctr"/>
        <lblOffset val="100"/>
        <noMultiLvlLbl val="0"/>
      </catAx>
      <valAx>
        <axId val="9042928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Crediti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it-IT"/>
          </a:p>
        </txPr>
        <crossAx val="1162951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  <a:endParaRPr lang="it-IT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175680</rowOff>
    </from>
    <to>
      <col>9</col>
      <colOff>255960</colOff>
      <row>18</row>
      <rowOff>176760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9</col>
      <colOff>0</colOff>
      <row>1</row>
      <rowOff>175680</rowOff>
    </from>
    <to>
      <col>16</col>
      <colOff>39240</colOff>
      <row>18</row>
      <rowOff>176760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0</col>
      <colOff>0</colOff>
      <row>20</row>
      <rowOff>176040</rowOff>
    </from>
    <to>
      <col>9</col>
      <colOff>255960</colOff>
      <row>37</row>
      <rowOff>177120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9</col>
      <colOff>0</colOff>
      <row>20</row>
      <rowOff>176040</rowOff>
    </from>
    <to>
      <col>20</col>
      <colOff>473040</colOff>
      <row>37</row>
      <rowOff>177120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tabSelected="1" zoomScale="135" zoomScaleNormal="100" workbookViewId="0">
      <pane ySplit="16" topLeftCell="A17" activePane="bottomLeft" state="frozen"/>
      <selection pane="bottomLeft" activeCell="K14" sqref="K14"/>
    </sheetView>
  </sheetViews>
  <sheetFormatPr baseColWidth="10" defaultColWidth="8.6640625" defaultRowHeight="15"/>
  <cols>
    <col width="6" customWidth="1" min="1" max="1"/>
    <col width="7" customWidth="1" min="2" max="2"/>
    <col width="38" customWidth="1" min="3" max="3"/>
    <col width="20" customWidth="1" min="4" max="4"/>
    <col width="12" customWidth="1" min="5" max="5"/>
    <col width="10" customWidth="1" min="6" max="6"/>
    <col width="13" customWidth="1" min="7" max="7"/>
    <col width="20" customWidth="1" min="8" max="8"/>
    <col width="9" customWidth="1" min="9" max="9"/>
    <col width="14" customWidth="1" min="10" max="10"/>
  </cols>
  <sheetData>
    <row r="1" ht="20" customHeight="1">
      <c r="A1" s="3" t="inlineStr">
        <is>
          <t>FANTA ASTA 2026-27 · Modalità Classic · Budget 1000 crediti</t>
        </is>
      </c>
    </row>
    <row r="2">
      <c r="A2" s="4" t="inlineStr">
        <is>
          <t>Rosa: 3 P + 8 D + 8 C + 6 A = 25 slot. Compila solo le celle GIALLE durante l'asta: tutto il resto si aggiorna da solo (grafici inclusi).</t>
        </is>
      </c>
    </row>
    <row r="3" ht="28" customHeight="1">
      <c r="A3" s="5" t="inlineStr">
        <is>
          <t>Budget totale</t>
        </is>
      </c>
      <c r="B3" s="6" t="n">
        <v>1000</v>
      </c>
      <c r="D3" s="7" t="inlineStr">
        <is>
          <t>Reparto</t>
        </is>
      </c>
      <c r="E3" s="7" t="inlineStr">
        <is>
          <t>Budget consigliato</t>
        </is>
      </c>
      <c r="F3" s="7" t="inlineStr">
        <is>
          <t>Speso</t>
        </is>
      </c>
      <c r="G3" s="7" t="inlineStr">
        <is>
          <t>Residuo reparto</t>
        </is>
      </c>
      <c r="H3" s="7" t="inlineStr">
        <is>
          <t>% del totale speso</t>
        </is>
      </c>
    </row>
    <row r="4" ht="16" customHeight="1">
      <c r="A4" s="5" t="inlineStr">
        <is>
          <t>Speso</t>
        </is>
      </c>
      <c r="B4" s="8">
        <f>SUM(I17:I41)</f>
        <v/>
      </c>
      <c r="D4" s="9" t="inlineStr">
        <is>
          <t>P</t>
        </is>
      </c>
      <c r="E4" s="10">
        <f>SUMIF($B$17:$B$41,D4,$G$17:$G$41)</f>
        <v/>
      </c>
      <c r="F4" s="10">
        <f>SUMIF($B$17:$B$41,D4,$I$17:$I$41)</f>
        <v/>
      </c>
      <c r="G4" s="10">
        <f>E4-F4</f>
        <v/>
      </c>
      <c r="H4" s="11">
        <f>IF($B$4=0,0,F4/$B$4)</f>
        <v/>
      </c>
    </row>
    <row r="5" ht="16" customHeight="1">
      <c r="A5" s="5" t="inlineStr">
        <is>
          <t>Crediti rimasti</t>
        </is>
      </c>
      <c r="B5" s="8">
        <f>B3-B4</f>
        <v/>
      </c>
      <c r="D5" s="12" t="inlineStr">
        <is>
          <t>D</t>
        </is>
      </c>
      <c r="E5" s="10">
        <f>SUMIF($B$17:$B$41,D5,$G$17:$G$41)</f>
        <v/>
      </c>
      <c r="F5" s="10">
        <f>SUMIF($B$17:$B$41,D5,$I$17:$I$41)</f>
        <v/>
      </c>
      <c r="G5" s="10">
        <f>E5-F5</f>
        <v/>
      </c>
      <c r="H5" s="11">
        <f>IF($B$4=0,0,F5/$B$4)</f>
        <v/>
      </c>
    </row>
    <row r="6" ht="16" customHeight="1">
      <c r="A6" s="5" t="inlineStr">
        <is>
          <t>Giocatori acquistati</t>
        </is>
      </c>
      <c r="B6" s="8">
        <f>COUNT(I17:I41)</f>
        <v/>
      </c>
      <c r="D6" s="13" t="inlineStr">
        <is>
          <t>C</t>
        </is>
      </c>
      <c r="E6" s="10">
        <f>SUMIF($B$17:$B$41,D6,$G$17:$G$41)</f>
        <v/>
      </c>
      <c r="F6" s="10">
        <f>SUMIF($B$17:$B$41,D6,$I$17:$I$41)</f>
        <v/>
      </c>
      <c r="G6" s="10">
        <f>E6-F6</f>
        <v/>
      </c>
      <c r="H6" s="11">
        <f>IF($B$4=0,0,F6/$B$4)</f>
        <v/>
      </c>
    </row>
    <row r="7" ht="16" customHeight="1">
      <c r="A7" s="5" t="inlineStr">
        <is>
          <t>Slot rimanenti</t>
        </is>
      </c>
      <c r="B7" s="8">
        <f>25-B6</f>
        <v/>
      </c>
      <c r="D7" s="14" t="inlineStr">
        <is>
          <t>A</t>
        </is>
      </c>
      <c r="E7" s="10">
        <f>SUMIF($B$17:$B$41,D7,$G$17:$G$41)</f>
        <v/>
      </c>
      <c r="F7" s="10">
        <f>SUMIF($B$17:$B$41,D7,$I$17:$I$41)</f>
        <v/>
      </c>
      <c r="G7" s="10">
        <f>E7-F7</f>
        <v/>
      </c>
      <c r="H7" s="11">
        <f>IF($B$4=0,0,F7/$B$4)</f>
        <v/>
      </c>
    </row>
    <row r="8" ht="16" customHeight="1">
      <c r="A8" s="5" t="inlineStr">
        <is>
          <t>Media crediti / slot residuo</t>
        </is>
      </c>
      <c r="B8" s="15">
        <f>IF(B7=0,0,B5/B7)</f>
        <v/>
      </c>
      <c r="D8" s="16" t="inlineStr">
        <is>
          <t>Totale</t>
        </is>
      </c>
      <c r="E8" s="17">
        <f>SUM(E4:E7)</f>
        <v/>
      </c>
      <c r="F8" s="17">
        <f>SUM(F4:F7)</f>
        <v/>
      </c>
      <c r="G8" s="17">
        <f>SUM(G4:G7)</f>
        <v/>
      </c>
      <c r="H8" s="18">
        <f>IF($B$4=0,0,F8/$B$4)</f>
        <v/>
      </c>
    </row>
    <row r="10">
      <c r="A10" s="19" t="inlineStr">
        <is>
          <t>COME SI USA</t>
        </is>
      </c>
    </row>
    <row r="11">
      <c r="A11" s="20" t="inlineStr">
        <is>
          <t>1. Le celle GIALLE sono le uniche da compilare: colonna H (giocatore acquistato) e colonna I (crediti pagati). Puoi anche cambiare il budget in B3.</t>
        </is>
      </c>
    </row>
    <row r="12">
      <c r="A12" s="20" t="inlineStr">
        <is>
          <t>2. Il target in colonna D è il consiglio n.1 per quello slot: se te lo soffiano, apri il foglio del reparto e scendi nella lista delle 10+ alternative in ordine di priorità.</t>
        </is>
      </c>
    </row>
    <row r="13">
      <c r="A13" s="20" t="inlineStr">
        <is>
          <t>3. La colonna J mostra i crediti residui dopo ogni acquisto; il riquadro in alto e il foglio Grafici si aggiornano in automatico.</t>
        </is>
      </c>
    </row>
    <row r="14">
      <c r="A14" s="20" t="inlineStr">
        <is>
          <t>4. Esempio di compilazione → hai preso Svilar a 62: scrivi "Svilar" in H e 62 in I. Demo qui a destra:</t>
        </is>
      </c>
      <c r="G14" s="21" t="inlineStr">
        <is>
          <t>Es. →</t>
        </is>
      </c>
      <c r="H14" s="22" t="inlineStr">
        <is>
          <t>Svilar</t>
        </is>
      </c>
      <c r="I14" s="23" t="n">
        <v>62</v>
      </c>
    </row>
    <row r="16" ht="28" customHeight="1">
      <c r="A16" s="7" t="inlineStr">
        <is>
          <t>Slot</t>
        </is>
      </c>
      <c r="B16" s="7" t="inlineStr">
        <is>
          <t>Ruolo</t>
        </is>
      </c>
      <c r="C16" s="7" t="inlineStr">
        <is>
          <t>Profilo dello slot</t>
        </is>
      </c>
      <c r="D16" s="7" t="inlineStr">
        <is>
          <t>Target consigliato</t>
        </is>
      </c>
      <c r="E16" s="7" t="inlineStr">
        <is>
          <t>Squadra</t>
        </is>
      </c>
      <c r="F16" s="7" t="inlineStr">
        <is>
          <t>Qt.A listino</t>
        </is>
      </c>
      <c r="G16" s="7" t="inlineStr">
        <is>
          <t>Prezzo max consigliato</t>
        </is>
      </c>
      <c r="H16" s="7" t="inlineStr">
        <is>
          <t>Giocatore acquistato</t>
        </is>
      </c>
      <c r="I16" s="7" t="inlineStr">
        <is>
          <t>Pagato</t>
        </is>
      </c>
      <c r="J16" s="7" t="inlineStr">
        <is>
          <t>Crediti residui dopo l'acquisto</t>
        </is>
      </c>
    </row>
    <row r="17">
      <c r="A17" s="9" t="inlineStr">
        <is>
          <t>P1</t>
        </is>
      </c>
      <c r="B17" s="24" t="inlineStr">
        <is>
          <t>P</t>
        </is>
      </c>
      <c r="C17" s="25" t="inlineStr">
        <is>
          <t>Portiere titolare top (clean sheet + modificatore)</t>
        </is>
      </c>
      <c r="D17" s="5" t="inlineStr">
        <is>
          <t>Svilar</t>
        </is>
      </c>
      <c r="E17" s="26" t="inlineStr">
        <is>
          <t>Roma</t>
        </is>
      </c>
      <c r="F17" s="10" t="n">
        <v>18</v>
      </c>
      <c r="G17" s="27" t="n">
        <v>60</v>
      </c>
      <c r="H17" s="54" t="n"/>
      <c r="I17" s="23" t="n"/>
      <c r="J17" s="28">
        <f>IF(I17="","",$B$3-SUM($I$17:I17))</f>
        <v/>
      </c>
    </row>
    <row r="18">
      <c r="A18" s="9" t="inlineStr">
        <is>
          <t>P2</t>
        </is>
      </c>
      <c r="B18" s="24" t="inlineStr">
        <is>
          <t>P</t>
        </is>
      </c>
      <c r="C18" s="25" t="inlineStr">
        <is>
          <t>Secondo portiere / coppia o secondo titolare</t>
        </is>
      </c>
      <c r="D18" s="5" t="inlineStr">
        <is>
          <t>Provedel</t>
        </is>
      </c>
      <c r="E18" s="26" t="inlineStr">
        <is>
          <t>Inter</t>
        </is>
      </c>
      <c r="F18" s="10" t="n">
        <v>2</v>
      </c>
      <c r="G18" s="27" t="n">
        <v>15</v>
      </c>
      <c r="H18" s="22" t="n"/>
      <c r="I18" s="23" t="n"/>
      <c r="J18" s="28">
        <f>IF(I18="","",$B$3-SUM($I$17:I18))</f>
        <v/>
      </c>
    </row>
    <row r="19">
      <c r="A19" s="9" t="inlineStr">
        <is>
          <t>P3</t>
        </is>
      </c>
      <c r="B19" s="24" t="inlineStr">
        <is>
          <t>P</t>
        </is>
      </c>
      <c r="C19" s="25" t="inlineStr">
        <is>
          <t>Terzo portiere a 1-5 crediti</t>
        </is>
      </c>
      <c r="D19" s="5" t="inlineStr">
        <is>
          <t>Paleari</t>
        </is>
      </c>
      <c r="E19" s="26" t="inlineStr">
        <is>
          <t>Torino</t>
        </is>
      </c>
      <c r="F19" s="10" t="n">
        <v>1</v>
      </c>
      <c r="G19" s="27" t="n">
        <v>5</v>
      </c>
      <c r="H19" s="22" t="n"/>
      <c r="I19" s="23" t="n"/>
      <c r="J19" s="28">
        <f>IF(I19="","",$B$3-SUM($I$17:I19))</f>
        <v/>
      </c>
    </row>
    <row r="20">
      <c r="A20" s="12" t="inlineStr">
        <is>
          <t>D1</t>
        </is>
      </c>
      <c r="B20" s="29" t="inlineStr">
        <is>
          <t>D</t>
        </is>
      </c>
      <c r="C20" s="25" t="inlineStr">
        <is>
          <t>Top assoluto da bonus (attaccante aggiunto)</t>
        </is>
      </c>
      <c r="D20" s="5" t="inlineStr">
        <is>
          <t>Dimarco</t>
        </is>
      </c>
      <c r="E20" s="26" t="inlineStr">
        <is>
          <t>Inter</t>
        </is>
      </c>
      <c r="F20" s="10" t="n">
        <v>32</v>
      </c>
      <c r="G20" s="27" t="n">
        <v>55</v>
      </c>
      <c r="H20" s="22" t="n"/>
      <c r="I20" s="23" t="n"/>
      <c r="J20" s="28">
        <f>IF(I20="","",$B$3-SUM($I$17:I20))</f>
        <v/>
      </c>
    </row>
    <row r="21">
      <c r="A21" s="12" t="inlineStr">
        <is>
          <t>D2</t>
        </is>
      </c>
      <c r="B21" s="29" t="inlineStr">
        <is>
          <t>D</t>
        </is>
      </c>
      <c r="C21" s="25" t="inlineStr">
        <is>
          <t>Esterno da bonus (gol+assist)</t>
        </is>
      </c>
      <c r="D21" s="5" t="inlineStr">
        <is>
          <t>Wesley</t>
        </is>
      </c>
      <c r="E21" s="26" t="inlineStr">
        <is>
          <t>Roma</t>
        </is>
      </c>
      <c r="F21" s="10" t="n">
        <v>17</v>
      </c>
      <c r="G21" s="27" t="n">
        <v>25</v>
      </c>
      <c r="H21" s="22" t="n"/>
      <c r="I21" s="23" t="n"/>
      <c r="J21" s="28">
        <f>IF(I21="","",$B$3-SUM($I$17:I21))</f>
        <v/>
      </c>
    </row>
    <row r="22">
      <c r="A22" s="12" t="inlineStr">
        <is>
          <t>D3</t>
        </is>
      </c>
      <c r="B22" s="29" t="inlineStr">
        <is>
          <t>D</t>
        </is>
      </c>
      <c r="C22" s="25" t="inlineStr">
        <is>
          <t>Centrale big da modificatore</t>
        </is>
      </c>
      <c r="D22" s="5" t="inlineStr">
        <is>
          <t>Akanji</t>
        </is>
      </c>
      <c r="E22" s="26" t="inlineStr">
        <is>
          <t>Inter</t>
        </is>
      </c>
      <c r="F22" s="10" t="n">
        <v>16</v>
      </c>
      <c r="G22" s="27" t="n">
        <v>15</v>
      </c>
      <c r="H22" s="22" t="n"/>
      <c r="I22" s="23" t="n"/>
      <c r="J22" s="28">
        <f>IF(I22="","",$B$3-SUM($I$17:I22))</f>
        <v/>
      </c>
    </row>
    <row r="23">
      <c r="A23" s="12" t="inlineStr">
        <is>
          <t>D4</t>
        </is>
      </c>
      <c r="B23" s="29" t="inlineStr">
        <is>
          <t>D</t>
        </is>
      </c>
      <c r="C23" s="25" t="inlineStr">
        <is>
          <t>Centrale affidabile da buon voto</t>
        </is>
      </c>
      <c r="D23" s="5" t="inlineStr">
        <is>
          <t>Ostigard</t>
        </is>
      </c>
      <c r="E23" s="26" t="inlineStr">
        <is>
          <t>Genoa</t>
        </is>
      </c>
      <c r="F23" s="10" t="n">
        <v>11</v>
      </c>
      <c r="G23" s="27" t="n">
        <v>12</v>
      </c>
      <c r="H23" s="22" t="n"/>
      <c r="I23" s="23" t="n"/>
      <c r="J23" s="28">
        <f>IF(I23="","",$B$3-SUM($I$17:I23))</f>
        <v/>
      </c>
    </row>
    <row r="24">
      <c r="A24" s="12" t="inlineStr">
        <is>
          <t>D5</t>
        </is>
      </c>
      <c r="B24" s="29" t="inlineStr">
        <is>
          <t>D</t>
        </is>
      </c>
      <c r="C24" s="25" t="inlineStr">
        <is>
          <t>Esterno titolare media fascia</t>
        </is>
      </c>
      <c r="D24" s="5" t="inlineStr">
        <is>
          <t>Miranda J.</t>
        </is>
      </c>
      <c r="E24" s="26" t="inlineStr">
        <is>
          <t>Bologna</t>
        </is>
      </c>
      <c r="F24" s="10" t="n">
        <v>8</v>
      </c>
      <c r="G24" s="27" t="n">
        <v>10</v>
      </c>
      <c r="H24" s="22" t="n"/>
      <c r="I24" s="23" t="n"/>
      <c r="J24" s="28">
        <f>IF(I24="","",$B$3-SUM($I$17:I24))</f>
        <v/>
      </c>
    </row>
    <row r="25">
      <c r="A25" s="12" t="inlineStr">
        <is>
          <t>D6</t>
        </is>
      </c>
      <c r="B25" s="29" t="inlineStr">
        <is>
          <t>D</t>
        </is>
      </c>
      <c r="C25" s="25" t="inlineStr">
        <is>
          <t>Titolare di provincia</t>
        </is>
      </c>
      <c r="D25" s="5" t="inlineStr">
        <is>
          <t>Delprato</t>
        </is>
      </c>
      <c r="E25" s="26" t="inlineStr">
        <is>
          <t>Parma</t>
        </is>
      </c>
      <c r="F25" s="10" t="n">
        <v>8</v>
      </c>
      <c r="G25" s="27" t="n">
        <v>6</v>
      </c>
      <c r="H25" s="22" t="n"/>
      <c r="I25" s="23" t="n"/>
      <c r="J25" s="28">
        <f>IF(I25="","",$B$3-SUM($I$17:I25))</f>
        <v/>
      </c>
    </row>
    <row r="26">
      <c r="A26" s="12" t="inlineStr">
        <is>
          <t>D7</t>
        </is>
      </c>
      <c r="B26" s="29" t="inlineStr">
        <is>
          <t>D</t>
        </is>
      </c>
      <c r="C26" s="25" t="inlineStr">
        <is>
          <t>Low cost titolare</t>
        </is>
      </c>
      <c r="D26" s="5" t="inlineStr">
        <is>
          <t>Bracaglia</t>
        </is>
      </c>
      <c r="E26" s="26" t="inlineStr">
        <is>
          <t>Frosinone</t>
        </is>
      </c>
      <c r="F26" s="10" t="n">
        <v>5</v>
      </c>
      <c r="G26" s="27" t="n">
        <v>4</v>
      </c>
      <c r="H26" s="22" t="n"/>
      <c r="I26" s="23" t="n"/>
      <c r="J26" s="28">
        <f>IF(I26="","",$B$3-SUM($I$17:I26))</f>
        <v/>
      </c>
    </row>
    <row r="27">
      <c r="A27" s="12" t="inlineStr">
        <is>
          <t>D8</t>
        </is>
      </c>
      <c r="B27" s="29" t="inlineStr">
        <is>
          <t>D</t>
        </is>
      </c>
      <c r="C27" s="25" t="inlineStr">
        <is>
          <t>Scommessa / parcheggio infortunati</t>
        </is>
      </c>
      <c r="D27" s="5" t="inlineStr">
        <is>
          <t>Hien</t>
        </is>
      </c>
      <c r="E27" s="26" t="inlineStr">
        <is>
          <t>Atalanta</t>
        </is>
      </c>
      <c r="F27" s="10" t="n">
        <v>8</v>
      </c>
      <c r="G27" s="27" t="n">
        <v>3</v>
      </c>
      <c r="H27" s="22" t="n"/>
      <c r="I27" s="23" t="n"/>
      <c r="J27" s="28">
        <f>IF(I27="","",$B$3-SUM($I$17:I27))</f>
        <v/>
      </c>
    </row>
    <row r="28">
      <c r="A28" s="13" t="inlineStr">
        <is>
          <t>C1</t>
        </is>
      </c>
      <c r="B28" s="30" t="inlineStr">
        <is>
          <t>C</t>
        </is>
      </c>
      <c r="C28" s="25" t="inlineStr">
        <is>
          <t>Top di reparto (vince il fanta)</t>
        </is>
      </c>
      <c r="D28" s="5" t="inlineStr">
        <is>
          <t>Paz N.</t>
        </is>
      </c>
      <c r="E28" s="26" t="inlineStr">
        <is>
          <t>Como</t>
        </is>
      </c>
      <c r="F28" s="10" t="n">
        <v>30</v>
      </c>
      <c r="G28" s="27" t="n">
        <v>90</v>
      </c>
      <c r="H28" s="22" t="n"/>
      <c r="I28" s="23" t="n"/>
      <c r="J28" s="28">
        <f>IF(I28="","",$B$3-SUM($I$17:I28))</f>
        <v/>
      </c>
    </row>
    <row r="29">
      <c r="A29" s="13" t="inlineStr">
        <is>
          <t>C2</t>
        </is>
      </c>
      <c r="B29" s="30" t="inlineStr">
        <is>
          <t>C</t>
        </is>
      </c>
      <c r="C29" s="25" t="inlineStr">
        <is>
          <t>Secondo top / rigorista</t>
        </is>
      </c>
      <c r="D29" s="5" t="inlineStr">
        <is>
          <t>Calhanoglu</t>
        </is>
      </c>
      <c r="E29" s="26" t="inlineStr">
        <is>
          <t>Inter</t>
        </is>
      </c>
      <c r="F29" s="10" t="n">
        <v>27</v>
      </c>
      <c r="G29" s="27" t="n">
        <v>70</v>
      </c>
      <c r="H29" s="22" t="n"/>
      <c r="I29" s="23" t="n"/>
      <c r="J29" s="28">
        <f>IF(I29="","",$B$3-SUM($I$17:I29))</f>
        <v/>
      </c>
    </row>
    <row r="30">
      <c r="A30" s="13" t="inlineStr">
        <is>
          <t>C3</t>
        </is>
      </c>
      <c r="B30" s="30" t="inlineStr">
        <is>
          <t>C</t>
        </is>
      </c>
      <c r="C30" s="25" t="inlineStr">
        <is>
          <t>Trequartista da bonus</t>
        </is>
      </c>
      <c r="D30" s="5" t="inlineStr">
        <is>
          <t>De Bruyne</t>
        </is>
      </c>
      <c r="E30" s="26" t="inlineStr">
        <is>
          <t>Napoli</t>
        </is>
      </c>
      <c r="F30" s="10" t="n">
        <v>15</v>
      </c>
      <c r="G30" s="27" t="n">
        <v>40</v>
      </c>
      <c r="H30" s="22" t="n"/>
      <c r="I30" s="23" t="n"/>
      <c r="J30" s="28">
        <f>IF(I30="","",$B$3-SUM($I$17:I30))</f>
        <v/>
      </c>
    </row>
    <row r="31">
      <c r="A31" s="13" t="inlineStr">
        <is>
          <t>C4</t>
        </is>
      </c>
      <c r="B31" s="30" t="inlineStr">
        <is>
          <t>C</t>
        </is>
      </c>
      <c r="C31" s="25" t="inlineStr">
        <is>
          <t>Titolare da potenziale doppia cifra</t>
        </is>
      </c>
      <c r="D31" s="5" t="inlineStr">
        <is>
          <t>Taylor K.</t>
        </is>
      </c>
      <c r="E31" s="26" t="inlineStr">
        <is>
          <t>Lazio</t>
        </is>
      </c>
      <c r="F31" s="10" t="n">
        <v>13</v>
      </c>
      <c r="G31" s="27" t="n">
        <v>25</v>
      </c>
      <c r="H31" s="22" t="n"/>
      <c r="I31" s="23" t="n"/>
      <c r="J31" s="28">
        <f>IF(I31="","",$B$3-SUM($I$17:I31))</f>
        <v/>
      </c>
    </row>
    <row r="32">
      <c r="A32" s="13" t="inlineStr">
        <is>
          <t>C5</t>
        </is>
      </c>
      <c r="B32" s="30" t="inlineStr">
        <is>
          <t>C</t>
        </is>
      </c>
      <c r="C32" s="25" t="inlineStr">
        <is>
          <t>Jolly da bonus (cambi ruolo inclusi)</t>
        </is>
      </c>
      <c r="D32" s="5" t="inlineStr">
        <is>
          <t>Pasalic</t>
        </is>
      </c>
      <c r="E32" s="26" t="inlineStr">
        <is>
          <t>Atalanta</t>
        </is>
      </c>
      <c r="F32" s="10" t="n">
        <v>9</v>
      </c>
      <c r="G32" s="27" t="n">
        <v>15</v>
      </c>
      <c r="H32" s="22" t="n"/>
      <c r="I32" s="23" t="n"/>
      <c r="J32" s="28">
        <f>IF(I32="","",$B$3-SUM($I$17:I32))</f>
        <v/>
      </c>
    </row>
    <row r="33">
      <c r="A33" s="13" t="inlineStr">
        <is>
          <t>C6</t>
        </is>
      </c>
      <c r="B33" s="30" t="inlineStr">
        <is>
          <t>C</t>
        </is>
      </c>
      <c r="C33" s="25" t="inlineStr">
        <is>
          <t>Titolare da buon voto</t>
        </is>
      </c>
      <c r="D33" s="5" t="inlineStr">
        <is>
          <t>Thorstvedt</t>
        </is>
      </c>
      <c r="E33" s="26" t="inlineStr">
        <is>
          <t>Sassuolo</t>
        </is>
      </c>
      <c r="F33" s="10" t="n">
        <v>10</v>
      </c>
      <c r="G33" s="27" t="n">
        <v>12</v>
      </c>
      <c r="H33" s="22" t="n"/>
      <c r="I33" s="23" t="n"/>
      <c r="J33" s="28">
        <f>IF(I33="","",$B$3-SUM($I$17:I33))</f>
        <v/>
      </c>
    </row>
    <row r="34">
      <c r="A34" s="13" t="inlineStr">
        <is>
          <t>C7</t>
        </is>
      </c>
      <c r="B34" s="30" t="inlineStr">
        <is>
          <t>C</t>
        </is>
      </c>
      <c r="C34" s="25" t="inlineStr">
        <is>
          <t>Low cost titolare / piazzati</t>
        </is>
      </c>
      <c r="D34" s="5" t="inlineStr">
        <is>
          <t>Berisha M.</t>
        </is>
      </c>
      <c r="E34" s="26" t="inlineStr">
        <is>
          <t>Lecce</t>
        </is>
      </c>
      <c r="F34" s="10" t="n">
        <v>5</v>
      </c>
      <c r="G34" s="27" t="n">
        <v>8</v>
      </c>
      <c r="H34" s="22" t="n"/>
      <c r="I34" s="23" t="n"/>
      <c r="J34" s="28">
        <f>IF(I34="","",$B$3-SUM($I$17:I34))</f>
        <v/>
      </c>
    </row>
    <row r="35">
      <c r="A35" s="13" t="inlineStr">
        <is>
          <t>C8</t>
        </is>
      </c>
      <c r="B35" s="30" t="inlineStr">
        <is>
          <t>C</t>
        </is>
      </c>
      <c r="C35" s="25" t="inlineStr">
        <is>
          <t>Scommessa a 1-5</t>
        </is>
      </c>
      <c r="D35" s="5" t="inlineStr">
        <is>
          <t>Koutsoupias</t>
        </is>
      </c>
      <c r="E35" s="26" t="inlineStr">
        <is>
          <t>Frosinone</t>
        </is>
      </c>
      <c r="F35" s="10" t="n">
        <v>4</v>
      </c>
      <c r="G35" s="27" t="n">
        <v>5</v>
      </c>
      <c r="H35" s="22" t="n"/>
      <c r="I35" s="23" t="n"/>
      <c r="J35" s="28">
        <f>IF(I35="","",$B$3-SUM($I$17:I35))</f>
        <v/>
      </c>
    </row>
    <row r="36">
      <c r="A36" s="14" t="inlineStr">
        <is>
          <t>A1</t>
        </is>
      </c>
      <c r="B36" s="31" t="inlineStr">
        <is>
          <t>A</t>
        </is>
      </c>
      <c r="C36" s="25" t="inlineStr">
        <is>
          <t>Super top (garanzia 15+ gol)</t>
        </is>
      </c>
      <c r="D36" s="5" t="inlineStr">
        <is>
          <t>Martinez L.</t>
        </is>
      </c>
      <c r="E36" s="26" t="inlineStr">
        <is>
          <t>Inter</t>
        </is>
      </c>
      <c r="F36" s="10" t="n">
        <v>35</v>
      </c>
      <c r="G36" s="27" t="n">
        <v>220</v>
      </c>
      <c r="H36" s="22" t="n"/>
      <c r="I36" s="23" t="n"/>
      <c r="J36" s="28">
        <f>IF(I36="","",$B$3-SUM($I$17:I36))</f>
        <v/>
      </c>
    </row>
    <row r="37">
      <c r="A37" s="14" t="inlineStr">
        <is>
          <t>A2</t>
        </is>
      </c>
      <c r="B37" s="31" t="inlineStr">
        <is>
          <t>A</t>
        </is>
      </c>
      <c r="C37" s="25" t="inlineStr">
        <is>
          <t>Primo slot doppia cifra sicura</t>
        </is>
      </c>
      <c r="D37" s="5" t="inlineStr">
        <is>
          <t>Hojlund</t>
        </is>
      </c>
      <c r="E37" s="26" t="inlineStr">
        <is>
          <t>Napoli</t>
        </is>
      </c>
      <c r="F37" s="10" t="n">
        <v>28</v>
      </c>
      <c r="G37" s="27" t="n">
        <v>150</v>
      </c>
      <c r="H37" s="22" t="n"/>
      <c r="I37" s="23" t="n"/>
      <c r="J37" s="28">
        <f>IF(I37="","",$B$3-SUM($I$17:I37))</f>
        <v/>
      </c>
    </row>
    <row r="38">
      <c r="A38" s="14" t="inlineStr">
        <is>
          <t>A3</t>
        </is>
      </c>
      <c r="B38" s="31" t="inlineStr">
        <is>
          <t>A</t>
        </is>
      </c>
      <c r="C38" s="25" t="inlineStr">
        <is>
          <t>Prima fascia (10-14 gol attesi)</t>
        </is>
      </c>
      <c r="D38" s="5" t="inlineStr">
        <is>
          <t>Scamacca</t>
        </is>
      </c>
      <c r="E38" s="26" t="inlineStr">
        <is>
          <t>Atalanta</t>
        </is>
      </c>
      <c r="F38" s="10" t="n">
        <v>19</v>
      </c>
      <c r="G38" s="27" t="n">
        <v>80</v>
      </c>
      <c r="H38" s="22" t="n"/>
      <c r="I38" s="23" t="n"/>
      <c r="J38" s="28">
        <f>IF(I38="","",$B$3-SUM($I$17:I38))</f>
        <v/>
      </c>
    </row>
    <row r="39">
      <c r="A39" s="14" t="inlineStr">
        <is>
          <t>A4</t>
        </is>
      </c>
      <c r="B39" s="31" t="inlineStr">
        <is>
          <t>A</t>
        </is>
      </c>
      <c r="C39" s="25" t="inlineStr">
        <is>
          <t>Terzo slot (8-10 gol)</t>
        </is>
      </c>
      <c r="D39" s="5" t="inlineStr">
        <is>
          <t>Dybala</t>
        </is>
      </c>
      <c r="E39" s="26" t="inlineStr">
        <is>
          <t>Roma</t>
        </is>
      </c>
      <c r="F39" s="10" t="n">
        <v>14</v>
      </c>
      <c r="G39" s="27" t="n">
        <v>45</v>
      </c>
      <c r="H39" s="22" t="n"/>
      <c r="I39" s="23" t="n"/>
      <c r="J39" s="28">
        <f>IF(I39="","",$B$3-SUM($I$17:I39))</f>
        <v/>
      </c>
    </row>
    <row r="40">
      <c r="A40" s="14" t="inlineStr">
        <is>
          <t>A5</t>
        </is>
      </c>
      <c r="B40" s="31" t="inlineStr">
        <is>
          <t>A</t>
        </is>
      </c>
      <c r="C40" s="25" t="inlineStr">
        <is>
          <t>Quarto slot da alternare</t>
        </is>
      </c>
      <c r="D40" s="5" t="inlineStr">
        <is>
          <t>Colombo</t>
        </is>
      </c>
      <c r="E40" s="26" t="inlineStr">
        <is>
          <t>Genoa</t>
        </is>
      </c>
      <c r="F40" s="10" t="n">
        <v>11</v>
      </c>
      <c r="G40" s="27" t="n">
        <v>20</v>
      </c>
      <c r="H40" s="22" t="n"/>
      <c r="I40" s="23" t="n"/>
      <c r="J40" s="28">
        <f>IF(I40="","",$B$3-SUM($I$17:I40))</f>
        <v/>
      </c>
    </row>
    <row r="41">
      <c r="A41" s="14" t="inlineStr">
        <is>
          <t>A6</t>
        </is>
      </c>
      <c r="B41" s="31" t="inlineStr">
        <is>
          <t>A</t>
        </is>
      </c>
      <c r="C41" s="25" t="inlineStr">
        <is>
          <t>Scommessa / colpo a 1-10</t>
        </is>
      </c>
      <c r="D41" s="5" t="inlineStr">
        <is>
          <t>Ghedjemis</t>
        </is>
      </c>
      <c r="E41" s="26" t="inlineStr">
        <is>
          <t>Frosinone</t>
        </is>
      </c>
      <c r="F41" s="10" t="n">
        <v>9</v>
      </c>
      <c r="G41" s="27" t="n">
        <v>10</v>
      </c>
      <c r="H41" s="22" t="n"/>
      <c r="I41" s="23" t="n"/>
      <c r="J41" s="28">
        <f>IF(I41="","",$B$3-SUM($I$17:I41))</f>
        <v/>
      </c>
    </row>
    <row r="43" ht="15" customHeight="1">
      <c r="A43" s="2" t="inlineStr">
        <is>
          <t>Fonti: quotazioni ufficiali dal listone caricato (Qt.A / FVM stagione 2026-27); consigli, gerarchie portieri e rigoristi da Gazzetta/SOS Fanta, Goal.com Italia, FantaMaster e Calciodangolo (agosto 2026). Gerarchie e rigoristi possono cambiare fino alla chiusura del mercato: verifica i ballottaggi a ridosso dell'asta.</t>
        </is>
      </c>
    </row>
    <row r="44"/>
  </sheetData>
  <mergeCells count="1">
    <mergeCell ref="A43:J4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Normal="100" workbookViewId="0">
      <selection activeCell="A1" sqref="A1"/>
    </sheetView>
  </sheetViews>
  <sheetFormatPr baseColWidth="10" defaultColWidth="8.6640625" defaultRowHeight="15"/>
  <sheetData>
    <row r="1" ht="17" customHeight="1">
      <c r="A1" s="32" t="inlineStr">
        <is>
          <t>DASHBOARD GRAFICI · si aggiornano in automatico man mano che compili le celle gialle del foglio Asta</t>
        </is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10" defaultColWidth="8.6640625" defaultRowHeight="15"/>
  <cols>
    <col width="8" customWidth="1" min="1" max="1"/>
    <col width="18" customWidth="1" min="2" max="2"/>
    <col width="11" customWidth="1" min="3" max="3"/>
    <col width="6" customWidth="1" min="4" max="5"/>
    <col width="16" customWidth="1" min="6" max="7"/>
    <col width="34" customWidth="1" min="8" max="8"/>
    <col width="9" customWidth="1" min="9" max="9"/>
    <col width="52" customWidth="1" min="10" max="10"/>
  </cols>
  <sheetData>
    <row r="1" ht="18" customHeight="1">
      <c r="A1" s="33" t="inlineStr">
        <is>
          <t>PORTIERI · target + 10 alternative per ogni slot, in ordine di priorità</t>
        </is>
      </c>
    </row>
    <row r="2">
      <c r="A2" s="4" t="inlineStr">
        <is>
          <t>Priorità 1 = target consigliato (già riportato nel foglio Asta). Se un nome è già stato battuto, passa al successivo. "Se non preso prima": nomi condivisi tra slot vicini del reparto.</t>
        </is>
      </c>
    </row>
    <row r="3"/>
    <row r="4">
      <c r="A4" s="1" t="inlineStr">
        <is>
          <t>SLOT P1 — Portiere titolare top (clean sheet + modificatore) · budget consigliato: 60</t>
        </is>
      </c>
    </row>
    <row r="5" ht="28" customHeight="1">
      <c r="A5" s="34" t="inlineStr">
        <is>
          <t>Priorità</t>
        </is>
      </c>
      <c r="B5" s="34" t="inlineStr">
        <is>
          <t>Giocatore</t>
        </is>
      </c>
      <c r="C5" s="34" t="inlineStr">
        <is>
          <t>Squadra</t>
        </is>
      </c>
      <c r="D5" s="34" t="inlineStr">
        <is>
          <t>Qt.A</t>
        </is>
      </c>
      <c r="E5" s="34" t="inlineStr">
        <is>
          <t>FVM</t>
        </is>
      </c>
      <c r="F5" s="34" t="inlineStr">
        <is>
          <t>Titolarità</t>
        </is>
      </c>
      <c r="G5" s="34" t="inlineStr">
        <is>
          <t>Rigorista</t>
        </is>
      </c>
      <c r="H5" s="34" t="inlineStr">
        <is>
          <t>Bonus attesi / punti di forza</t>
        </is>
      </c>
      <c r="I5" s="34" t="inlineStr">
        <is>
          <t>Prezzo max</t>
        </is>
      </c>
      <c r="J5" s="34" t="inlineStr">
        <is>
          <t>Note</t>
        </is>
      </c>
    </row>
    <row r="6" ht="26" customHeight="1">
      <c r="A6" s="16" t="n">
        <v>1</v>
      </c>
      <c r="B6" s="5" t="inlineStr">
        <is>
          <t>Svilar</t>
        </is>
      </c>
      <c r="C6" s="35" t="inlineStr">
        <is>
          <t>Roma</t>
        </is>
      </c>
      <c r="D6" s="10" t="n">
        <v>18</v>
      </c>
      <c r="E6" s="10" t="n">
        <v>65</v>
      </c>
      <c r="F6" s="35" t="inlineStr">
        <is>
          <t>Altissima</t>
        </is>
      </c>
      <c r="G6" s="35" t="inlineStr">
        <is>
          <t>No</t>
        </is>
      </c>
      <c r="H6" s="36" t="inlineStr">
        <is>
          <t>18 CS 25/26, miglior porta d'Europa</t>
        </is>
      </c>
      <c r="I6" s="10" t="n">
        <v>65</v>
      </c>
      <c r="J6" s="36" t="inlineStr">
        <is>
          <t>Super top del reparto: 18 clean sheet e 31 gol subiti nella Roma di Gasperini</t>
        </is>
      </c>
    </row>
    <row r="7" ht="26" customHeight="1">
      <c r="A7" s="37" t="n">
        <v>2</v>
      </c>
      <c r="B7" s="38" t="inlineStr">
        <is>
          <t>Martinez Jo.</t>
        </is>
      </c>
      <c r="C7" s="39" t="inlineStr">
        <is>
          <t>Inter</t>
        </is>
      </c>
      <c r="D7" s="40" t="n">
        <v>17</v>
      </c>
      <c r="E7" s="40" t="n">
        <v>63</v>
      </c>
      <c r="F7" s="39" t="inlineStr">
        <is>
          <t>Altissima</t>
        </is>
      </c>
      <c r="G7" s="39" t="inlineStr">
        <is>
          <t>No</t>
        </is>
      </c>
      <c r="H7" s="41" t="inlineStr">
        <is>
          <t>Porta della squadra campione d'Italia</t>
        </is>
      </c>
      <c r="I7" s="40" t="n">
        <v>58</v>
      </c>
      <c r="J7" s="41" t="inlineStr">
        <is>
          <t>Ballottaggio più aperto del previsto (60/40): Chivu non dà gerarchie e Provedel ha giocato e parato un rigore. Sconto d'obbligo.</t>
        </is>
      </c>
    </row>
    <row r="8" ht="26" customHeight="1">
      <c r="A8" s="42" t="n">
        <v>3</v>
      </c>
      <c r="B8" s="43" t="inlineStr">
        <is>
          <t>Butez</t>
        </is>
      </c>
      <c r="C8" s="35" t="inlineStr">
        <is>
          <t>Como</t>
        </is>
      </c>
      <c r="D8" s="10" t="n">
        <v>16</v>
      </c>
      <c r="E8" s="10" t="n">
        <v>56</v>
      </c>
      <c r="F8" s="35" t="inlineStr">
        <is>
          <t>Altissima</t>
        </is>
      </c>
      <c r="G8" s="35" t="inlineStr">
        <is>
          <t>No</t>
        </is>
      </c>
      <c r="H8" s="36" t="inlineStr">
        <is>
          <t>19 CS 25/26, il migliore per clean sheet</t>
        </is>
      </c>
      <c r="I8" s="10" t="n">
        <v>55</v>
      </c>
      <c r="J8" s="36" t="inlineStr">
        <is>
          <t>Como solido e in crescita: numeri da top assoluto anche per il modificatore</t>
        </is>
      </c>
    </row>
    <row r="9">
      <c r="A9" s="37" t="n">
        <v>4</v>
      </c>
      <c r="B9" s="38" t="inlineStr">
        <is>
          <t>Carnesecchi</t>
        </is>
      </c>
      <c r="C9" s="39" t="inlineStr">
        <is>
          <t>Atalanta</t>
        </is>
      </c>
      <c r="D9" s="40" t="n">
        <v>16</v>
      </c>
      <c r="E9" s="40" t="n">
        <v>52</v>
      </c>
      <c r="F9" s="39" t="inlineStr">
        <is>
          <t>Altissima</t>
        </is>
      </c>
      <c r="G9" s="39" t="inlineStr">
        <is>
          <t>No</t>
        </is>
      </c>
      <c r="H9" s="41" t="inlineStr">
        <is>
          <t>Continuo e premiante col modificatore</t>
        </is>
      </c>
      <c r="I9" s="40" t="n">
        <v>50</v>
      </c>
      <c r="J9" s="41" t="inlineStr">
        <is>
          <t>Certezza assoluta della Dea, gerarchia invariata (vice Sportiello)</t>
        </is>
      </c>
    </row>
    <row r="10">
      <c r="A10" s="42" t="n">
        <v>5</v>
      </c>
      <c r="B10" s="43" t="inlineStr">
        <is>
          <t>Maignan</t>
        </is>
      </c>
      <c r="C10" s="35" t="inlineStr">
        <is>
          <t>Milan</t>
        </is>
      </c>
      <c r="D10" s="10" t="n">
        <v>15</v>
      </c>
      <c r="E10" s="10" t="n">
        <v>50</v>
      </c>
      <c r="F10" s="35" t="inlineStr">
        <is>
          <t>Altissima</t>
        </is>
      </c>
      <c r="G10" s="35" t="inlineStr">
        <is>
          <t>No</t>
        </is>
      </c>
      <c r="H10" s="36" t="inlineStr">
        <is>
          <t>Voti alti, para-rigori</t>
        </is>
      </c>
      <c r="I10" s="10" t="n">
        <v>14</v>
      </c>
      <c r="J10" s="36" t="inlineStr">
        <is>
          <t>Rientra dal Mondiale solo il 16/8: TORRIANI favorito (~65%) alla 1ª. Bio social ripulita ma il club lo blinda. Non pagarlo pensando all'avvio.</t>
        </is>
      </c>
    </row>
    <row r="11">
      <c r="A11" s="37" t="n">
        <v>6</v>
      </c>
      <c r="B11" s="38" t="inlineStr">
        <is>
          <t>De Gea</t>
        </is>
      </c>
      <c r="C11" s="39" t="inlineStr">
        <is>
          <t>Fiorentina</t>
        </is>
      </c>
      <c r="D11" s="40" t="n">
        <v>13</v>
      </c>
      <c r="E11" s="40" t="n">
        <v>45</v>
      </c>
      <c r="F11" s="39" t="inlineStr">
        <is>
          <t>Altissima</t>
        </is>
      </c>
      <c r="G11" s="39" t="inlineStr">
        <is>
          <t>No</t>
        </is>
      </c>
      <c r="H11" s="41" t="inlineStr">
        <is>
          <t>Media voto tra le migliori</t>
        </is>
      </c>
      <c r="I11" s="40" t="n">
        <v>40</v>
      </c>
      <c r="J11" s="41" t="inlineStr">
        <is>
          <t>Garanzia Fiorentina: voti altissimi anche quando la squadra soffre</t>
        </is>
      </c>
    </row>
    <row r="12" ht="26" customHeight="1">
      <c r="A12" s="42" t="n">
        <v>7</v>
      </c>
      <c r="B12" s="43" t="inlineStr">
        <is>
          <t>Meret</t>
        </is>
      </c>
      <c r="C12" s="35" t="inlineStr">
        <is>
          <t>Napoli</t>
        </is>
      </c>
      <c r="D12" s="10" t="n">
        <v>11</v>
      </c>
      <c r="E12" s="10" t="n">
        <v>45</v>
      </c>
      <c r="F12" s="35" t="inlineStr">
        <is>
          <t>Alta</t>
        </is>
      </c>
      <c r="G12" s="35" t="inlineStr">
        <is>
          <t>No</t>
        </is>
      </c>
      <c r="H12" s="36" t="inlineStr">
        <is>
          <t>CS da prima della classe</t>
        </is>
      </c>
      <c r="I12" s="10" t="n">
        <v>35</v>
      </c>
      <c r="J12" s="36" t="inlineStr">
        <is>
          <t>Titolare scelto da Allegri (~85%): miglior rapporto qualità/prezzo del reparto. In arrivo Falcone come vice.</t>
        </is>
      </c>
    </row>
    <row r="13">
      <c r="A13" s="37" t="n">
        <v>8</v>
      </c>
      <c r="B13" s="38" t="inlineStr">
        <is>
          <t>Skorupski</t>
        </is>
      </c>
      <c r="C13" s="39" t="inlineStr">
        <is>
          <t>Bologna</t>
        </is>
      </c>
      <c r="D13" s="40" t="n">
        <v>10</v>
      </c>
      <c r="E13" s="40" t="n">
        <v>37</v>
      </c>
      <c r="F13" s="39" t="inlineStr">
        <is>
          <t>Alta</t>
        </is>
      </c>
      <c r="G13" s="39" t="inlineStr">
        <is>
          <t>No</t>
        </is>
      </c>
      <c r="H13" s="41" t="inlineStr">
        <is>
          <t>Bologna da Europa</t>
        </is>
      </c>
      <c r="I13" s="40" t="n">
        <v>28</v>
      </c>
      <c r="J13" s="41" t="inlineStr">
        <is>
          <t>Partito Ravaglia, titolarità blindata; da capire se Tedesco alterna</t>
        </is>
      </c>
    </row>
    <row r="14" ht="26" customHeight="1">
      <c r="A14" s="42" t="n">
        <v>9</v>
      </c>
      <c r="B14" s="43" t="inlineStr">
        <is>
          <t>Mandas</t>
        </is>
      </c>
      <c r="C14" s="35" t="inlineStr">
        <is>
          <t>Lazio</t>
        </is>
      </c>
      <c r="D14" s="10" t="n">
        <v>9</v>
      </c>
      <c r="E14" s="10" t="n">
        <v>30</v>
      </c>
      <c r="F14" s="35" t="inlineStr">
        <is>
          <t>Alta</t>
        </is>
      </c>
      <c r="G14" s="35" t="inlineStr">
        <is>
          <t>No</t>
        </is>
      </c>
      <c r="H14" s="36" t="inlineStr">
        <is>
          <t>Riflessi top, Lazio da CS</t>
        </is>
      </c>
      <c r="I14" s="10" t="n">
        <v>24</v>
      </c>
      <c r="J14" s="36" t="inlineStr">
        <is>
          <t>Gattuso lo ha scelto come nuovo titolare della Lazio</t>
        </is>
      </c>
    </row>
    <row r="15">
      <c r="A15" s="37" t="n">
        <v>10</v>
      </c>
      <c r="B15" s="38" t="inlineStr">
        <is>
          <t>Caprile</t>
        </is>
      </c>
      <c r="C15" s="39" t="inlineStr">
        <is>
          <t>Cagliari</t>
        </is>
      </c>
      <c r="D15" s="40" t="n">
        <v>9</v>
      </c>
      <c r="E15" s="40" t="n">
        <v>27</v>
      </c>
      <c r="F15" s="39" t="inlineStr">
        <is>
          <t>Altissima</t>
        </is>
      </c>
      <c r="G15" s="39" t="inlineStr">
        <is>
          <t>No</t>
        </is>
      </c>
      <c r="H15" s="41" t="inlineStr">
        <is>
          <t>Tra i migliori per media voto 25/26</t>
        </is>
      </c>
      <c r="I15" s="40" t="n">
        <v>22</v>
      </c>
      <c r="J15" s="41" t="inlineStr">
        <is>
          <t>Primissima scelta di Pisacane, portiere da modificatore</t>
        </is>
      </c>
    </row>
    <row r="16">
      <c r="A16" s="42" t="n">
        <v>11</v>
      </c>
      <c r="B16" s="43" t="inlineStr">
        <is>
          <t>Di Gregorio</t>
        </is>
      </c>
      <c r="C16" s="35" t="inlineStr">
        <is>
          <t>Juventus</t>
        </is>
      </c>
      <c r="D16" s="10" t="n">
        <v>9</v>
      </c>
      <c r="E16" s="10" t="n">
        <v>40</v>
      </c>
      <c r="F16" s="35" t="inlineStr">
        <is>
          <t>In uscita (Marsiglia)</t>
        </is>
      </c>
      <c r="G16" s="35" t="inlineStr">
        <is>
          <t>No</t>
        </is>
      </c>
      <c r="H16" s="36" t="inlineStr">
        <is>
          <t>Voti da big quando gioca</t>
        </is>
      </c>
      <c r="I16" s="10" t="n">
        <v>4</v>
      </c>
      <c r="J16" s="36" t="inlineStr">
        <is>
          <t>PORTA JUVE NEL CAOS: Suzuki saltato (PSG frena), si punta Vicario; Di Gregorio verso il Marsiglia (prestito+obbligo ~15M). Alla 1ª possibile Perin. Porta da NON toccare.</t>
        </is>
      </c>
    </row>
    <row r="17"/>
    <row r="18">
      <c r="A18" s="1" t="inlineStr">
        <is>
          <t>SLOT P2 — Secondo portiere / coppia o secondo titolare · budget consigliato: 15</t>
        </is>
      </c>
    </row>
    <row r="19" ht="28" customHeight="1">
      <c r="A19" s="34" t="inlineStr">
        <is>
          <t>Priorità</t>
        </is>
      </c>
      <c r="B19" s="34" t="inlineStr">
        <is>
          <t>Giocatore</t>
        </is>
      </c>
      <c r="C19" s="34" t="inlineStr">
        <is>
          <t>Squadra</t>
        </is>
      </c>
      <c r="D19" s="34" t="inlineStr">
        <is>
          <t>Qt.A</t>
        </is>
      </c>
      <c r="E19" s="34" t="inlineStr">
        <is>
          <t>FVM</t>
        </is>
      </c>
      <c r="F19" s="34" t="inlineStr">
        <is>
          <t>Titolarità</t>
        </is>
      </c>
      <c r="G19" s="34" t="inlineStr">
        <is>
          <t>Rigorista</t>
        </is>
      </c>
      <c r="H19" s="34" t="inlineStr">
        <is>
          <t>Bonus attesi / punti di forza</t>
        </is>
      </c>
      <c r="I19" s="34" t="inlineStr">
        <is>
          <t>Prezzo max</t>
        </is>
      </c>
      <c r="J19" s="34" t="inlineStr">
        <is>
          <t>Note</t>
        </is>
      </c>
    </row>
    <row r="20">
      <c r="A20" s="16" t="n">
        <v>1</v>
      </c>
      <c r="B20" s="5" t="inlineStr">
        <is>
          <t>Provedel</t>
        </is>
      </c>
      <c r="C20" s="35" t="inlineStr">
        <is>
          <t>Inter</t>
        </is>
      </c>
      <c r="D20" s="10" t="n">
        <v>2</v>
      </c>
      <c r="E20" s="10" t="n">
        <v>5</v>
      </c>
      <c r="F20" s="35" t="inlineStr">
        <is>
          <t>Alta (se gioca)</t>
        </is>
      </c>
      <c r="G20" s="35" t="inlineStr">
        <is>
          <t>No</t>
        </is>
      </c>
      <c r="H20" s="36" t="inlineStr">
        <is>
          <t>Copertura porta Inter</t>
        </is>
      </c>
      <c r="I20" s="10" t="n">
        <v>6</v>
      </c>
      <c r="J20" s="36" t="inlineStr">
        <is>
          <t>Fondamentale in coppia con Martinez: esperienza pronta a subentrare</t>
        </is>
      </c>
    </row>
    <row r="21">
      <c r="A21" s="37" t="n">
        <v>2</v>
      </c>
      <c r="B21" s="38" t="inlineStr">
        <is>
          <t>Falcone</t>
        </is>
      </c>
      <c r="C21" s="39" t="inlineStr">
        <is>
          <t>Lecce</t>
        </is>
      </c>
      <c r="D21" s="40" t="n">
        <v>8</v>
      </c>
      <c r="E21" s="40" t="n">
        <v>25</v>
      </c>
      <c r="F21" s="39" t="inlineStr">
        <is>
          <t>Altissima</t>
        </is>
      </c>
      <c r="G21" s="39" t="inlineStr">
        <is>
          <t>No</t>
        </is>
      </c>
      <c r="H21" s="41" t="inlineStr">
        <is>
          <t>Media voto top nel 25/26</t>
        </is>
      </c>
      <c r="I21" s="40" t="n">
        <v>18</v>
      </c>
      <c r="J21" s="41" t="inlineStr">
        <is>
          <t>MV 6,4, il '6 politico' — MA è il vice-Meret designato dal NAPOLI: verificare che resti titolare del Lecce prima di pagarlo.</t>
        </is>
      </c>
    </row>
    <row r="22">
      <c r="A22" s="42" t="n">
        <v>3</v>
      </c>
      <c r="B22" s="43" t="inlineStr">
        <is>
          <t>Caprile</t>
        </is>
      </c>
      <c r="C22" s="35" t="inlineStr">
        <is>
          <t>Cagliari</t>
        </is>
      </c>
      <c r="D22" s="10" t="n">
        <v>9</v>
      </c>
      <c r="E22" s="10" t="n">
        <v>27</v>
      </c>
      <c r="F22" s="35" t="inlineStr">
        <is>
          <t>Altissima</t>
        </is>
      </c>
      <c r="G22" s="35" t="inlineStr">
        <is>
          <t>No</t>
        </is>
      </c>
      <c r="H22" s="36" t="inlineStr">
        <is>
          <t>Media voto top</t>
        </is>
      </c>
      <c r="I22" s="10" t="n">
        <v>22</v>
      </c>
      <c r="J22" s="36" t="inlineStr">
        <is>
          <t>Alternativa se non preso come P1</t>
        </is>
      </c>
    </row>
    <row r="23">
      <c r="A23" s="37" t="n">
        <v>4</v>
      </c>
      <c r="B23" s="38" t="inlineStr">
        <is>
          <t>Okoye</t>
        </is>
      </c>
      <c r="C23" s="39" t="inlineStr">
        <is>
          <t>Udinese</t>
        </is>
      </c>
      <c r="D23" s="40" t="n">
        <v>9</v>
      </c>
      <c r="E23" s="40" t="n">
        <v>29</v>
      </c>
      <c r="F23" s="39" t="inlineStr">
        <is>
          <t>Alta</t>
        </is>
      </c>
      <c r="G23" s="39" t="inlineStr">
        <is>
          <t>No</t>
        </is>
      </c>
      <c r="H23" s="41" t="inlineStr">
        <is>
          <t>Parate decisive</t>
        </is>
      </c>
      <c r="I23" s="40" t="n">
        <v>14</v>
      </c>
      <c r="J23" s="41" t="inlineStr">
        <is>
          <t>Spalla ko MA in gruppo dal 13/8, obiettivo 1ª (salta solo la Coppa). Selvik non arriva. Low cost n.1 del reparto: verificare i convocati il 21/8.</t>
        </is>
      </c>
    </row>
    <row r="24">
      <c r="A24" s="42" t="n">
        <v>5</v>
      </c>
      <c r="B24" s="43" t="inlineStr">
        <is>
          <t>Muric</t>
        </is>
      </c>
      <c r="C24" s="35" t="inlineStr">
        <is>
          <t>Sassuolo</t>
        </is>
      </c>
      <c r="D24" s="10" t="n">
        <v>7</v>
      </c>
      <c r="E24" s="10" t="n">
        <v>15</v>
      </c>
      <c r="F24" s="35" t="inlineStr">
        <is>
          <t>Titolare (~80%)</t>
        </is>
      </c>
      <c r="G24" s="35" t="inlineStr">
        <is>
          <t>No</t>
        </is>
      </c>
      <c r="H24" s="36" t="inlineStr">
        <is>
          <t>Miglior media voto tra i medi</t>
        </is>
      </c>
      <c r="I24" s="10" t="n">
        <v>5</v>
      </c>
      <c r="J24" s="36" t="inlineStr">
        <is>
          <t>GERARCHIA RISOLTA: riscattato, titolare di Aquilani, Turati vice, Satalino fuori. Prezzo ancora schiacciato dal caos percepito = occasione.</t>
        </is>
      </c>
    </row>
    <row r="25">
      <c r="A25" s="37" t="n">
        <v>6</v>
      </c>
      <c r="B25" s="38" t="inlineStr">
        <is>
          <t>Bijlow</t>
        </is>
      </c>
      <c r="C25" s="39" t="inlineStr">
        <is>
          <t>Genoa</t>
        </is>
      </c>
      <c r="D25" s="40" t="n">
        <v>8</v>
      </c>
      <c r="E25" s="40" t="n">
        <v>18</v>
      </c>
      <c r="F25" s="39" t="inlineStr">
        <is>
          <t>Alta</t>
        </is>
      </c>
      <c r="G25" s="39" t="inlineStr">
        <is>
          <t>No</t>
        </is>
      </c>
      <c r="H25" s="41" t="inlineStr">
        <is>
          <t>Low cost da titolare</t>
        </is>
      </c>
      <c r="I25" s="40" t="n">
        <v>10</v>
      </c>
      <c r="J25" s="41" t="inlineStr">
        <is>
          <t>Titolare del Genoa senza rivali (5 clean sheet da gennaio): low cost ok 'ma con moderazione', il Genoa concede.</t>
        </is>
      </c>
    </row>
    <row r="26">
      <c r="A26" s="42" t="n">
        <v>7</v>
      </c>
      <c r="B26" s="43" t="inlineStr">
        <is>
          <t>Stankovic F.</t>
        </is>
      </c>
      <c r="C26" s="35" t="inlineStr">
        <is>
          <t>Venezia</t>
        </is>
      </c>
      <c r="D26" s="10" t="n">
        <v>6</v>
      </c>
      <c r="E26" s="10" t="n">
        <v>14</v>
      </c>
      <c r="F26" s="35" t="inlineStr">
        <is>
          <t>Altissima</t>
        </is>
      </c>
      <c r="G26" s="35" t="inlineStr">
        <is>
          <t>No</t>
        </is>
      </c>
      <c r="H26" s="36" t="inlineStr">
        <is>
          <t>Migliore tra le neopromosse</t>
        </is>
      </c>
      <c r="I26" s="10" t="n">
        <v>8</v>
      </c>
      <c r="J26" s="36" t="inlineStr">
        <is>
          <t>'C'è Stankovic' (Stroppa): titolare al 90%. Ormai bruciato: lo consigliano tutte le guide.</t>
        </is>
      </c>
    </row>
    <row r="27">
      <c r="A27" s="37" t="n">
        <v>8</v>
      </c>
      <c r="B27" s="38" t="inlineStr">
        <is>
          <t>Mandas</t>
        </is>
      </c>
      <c r="C27" s="39" t="inlineStr">
        <is>
          <t>Lazio</t>
        </is>
      </c>
      <c r="D27" s="40" t="n">
        <v>9</v>
      </c>
      <c r="E27" s="40" t="n">
        <v>30</v>
      </c>
      <c r="F27" s="39" t="inlineStr">
        <is>
          <t>Alta</t>
        </is>
      </c>
      <c r="G27" s="39" t="inlineStr">
        <is>
          <t>No</t>
        </is>
      </c>
      <c r="H27" s="41" t="inlineStr">
        <is>
          <t>Lazio da CS</t>
        </is>
      </c>
      <c r="I27" s="40" t="n">
        <v>24</v>
      </c>
      <c r="J27" s="41" t="inlineStr">
        <is>
          <t>Se non preso come P1</t>
        </is>
      </c>
    </row>
    <row r="28">
      <c r="A28" s="42" t="n">
        <v>9</v>
      </c>
      <c r="B28" s="43" t="inlineStr">
        <is>
          <t>Skorupski</t>
        </is>
      </c>
      <c r="C28" s="35" t="inlineStr">
        <is>
          <t>Bologna</t>
        </is>
      </c>
      <c r="D28" s="10" t="n">
        <v>10</v>
      </c>
      <c r="E28" s="10" t="n">
        <v>37</v>
      </c>
      <c r="F28" s="35" t="inlineStr">
        <is>
          <t>Alta</t>
        </is>
      </c>
      <c r="G28" s="35" t="inlineStr">
        <is>
          <t>No</t>
        </is>
      </c>
      <c r="H28" s="36" t="inlineStr">
        <is>
          <t>Bologna solido</t>
        </is>
      </c>
      <c r="I28" s="10" t="n">
        <v>28</v>
      </c>
      <c r="J28" s="36" t="inlineStr">
        <is>
          <t>Se non preso come P1</t>
        </is>
      </c>
    </row>
    <row r="29">
      <c r="A29" s="37" t="n">
        <v>10</v>
      </c>
      <c r="B29" s="38" t="inlineStr">
        <is>
          <t>Thiam</t>
        </is>
      </c>
      <c r="C29" s="39" t="inlineStr">
        <is>
          <t>Monza</t>
        </is>
      </c>
      <c r="D29" s="40" t="n">
        <v>5</v>
      </c>
      <c r="E29" s="40" t="n">
        <v>12</v>
      </c>
      <c r="F29" s="39" t="inlineStr">
        <is>
          <t>Alta</t>
        </is>
      </c>
      <c r="G29" s="39" t="inlineStr">
        <is>
          <t>No</t>
        </is>
      </c>
      <c r="H29" s="41" t="inlineStr">
        <is>
          <t>Titolare Monza</t>
        </is>
      </c>
      <c r="I29" s="40" t="n">
        <v>6</v>
      </c>
      <c r="J29" s="41" t="inlineStr">
        <is>
          <t>Neopromossa, ma titolarità utile per completare la coppia</t>
        </is>
      </c>
    </row>
    <row r="30">
      <c r="A30" s="42" t="n">
        <v>11</v>
      </c>
      <c r="B30" s="43" t="inlineStr">
        <is>
          <t>Suzuki</t>
        </is>
      </c>
      <c r="C30" s="35" t="inlineStr">
        <is>
          <t>Parma</t>
        </is>
      </c>
      <c r="D30" s="10" t="n">
        <v>7</v>
      </c>
      <c r="E30" s="10" t="n">
        <v>20</v>
      </c>
      <c r="F30" s="35" t="inlineStr">
        <is>
          <t>Al PSG</t>
        </is>
      </c>
      <c r="G30" s="35" t="inlineStr">
        <is>
          <t>No</t>
        </is>
      </c>
      <c r="H30" s="36" t="inlineStr">
        <is>
          <t>Affidabilità nei voti</t>
        </is>
      </c>
      <c r="I30" s="10" t="n">
        <v>1</v>
      </c>
      <c r="J30" s="36" t="inlineStr">
        <is>
          <t>Ceduto al PSG (~35M, non convocato in Coppa) e il prestito alla Juve È SALTATO: via dall'Italia. Depennare.</t>
        </is>
      </c>
    </row>
    <row r="31"/>
    <row r="32">
      <c r="A32" s="1" t="inlineStr">
        <is>
          <t>SLOT P3 — Terzo portiere a 1-5 crediti · budget consigliato: 5</t>
        </is>
      </c>
    </row>
    <row r="33" ht="28" customHeight="1">
      <c r="A33" s="34" t="inlineStr">
        <is>
          <t>Priorità</t>
        </is>
      </c>
      <c r="B33" s="34" t="inlineStr">
        <is>
          <t>Giocatore</t>
        </is>
      </c>
      <c r="C33" s="34" t="inlineStr">
        <is>
          <t>Squadra</t>
        </is>
      </c>
      <c r="D33" s="34" t="inlineStr">
        <is>
          <t>Qt.A</t>
        </is>
      </c>
      <c r="E33" s="34" t="inlineStr">
        <is>
          <t>FVM</t>
        </is>
      </c>
      <c r="F33" s="34" t="inlineStr">
        <is>
          <t>Titolarità</t>
        </is>
      </c>
      <c r="G33" s="34" t="inlineStr">
        <is>
          <t>Rigorista</t>
        </is>
      </c>
      <c r="H33" s="34" t="inlineStr">
        <is>
          <t>Bonus attesi / punti di forza</t>
        </is>
      </c>
      <c r="I33" s="34" t="inlineStr">
        <is>
          <t>Prezzo max</t>
        </is>
      </c>
      <c r="J33" s="34" t="inlineStr">
        <is>
          <t>Note</t>
        </is>
      </c>
    </row>
    <row r="34" ht="26" customHeight="1">
      <c r="A34" s="16" t="n">
        <v>1</v>
      </c>
      <c r="B34" s="5" t="inlineStr">
        <is>
          <t>Milinkovic-Savic V.</t>
        </is>
      </c>
      <c r="C34" s="35" t="inlineStr">
        <is>
          <t>Napoli</t>
        </is>
      </c>
      <c r="D34" s="10" t="n">
        <v>5</v>
      </c>
      <c r="E34" s="10" t="n">
        <v>10</v>
      </c>
      <c r="F34" s="35" t="inlineStr">
        <is>
          <t>In uscita</t>
        </is>
      </c>
      <c r="G34" s="35" t="inlineStr">
        <is>
          <t>No</t>
        </is>
      </c>
      <c r="H34" s="36" t="inlineStr">
        <is>
          <t>Para-rigori</t>
        </is>
      </c>
      <c r="I34" s="10" t="n">
        <v>5</v>
      </c>
      <c r="J34" s="36" t="inlineStr">
        <is>
          <t>Pista araba sfumata: ora Hull City/Besiktas (ADL chiede 15-18M). Solo da 3° a 1.</t>
        </is>
      </c>
    </row>
    <row r="35">
      <c r="A35" s="37" t="n">
        <v>2</v>
      </c>
      <c r="B35" s="38" t="inlineStr">
        <is>
          <t>Desplanches</t>
        </is>
      </c>
      <c r="C35" s="39" t="inlineStr">
        <is>
          <t>Frosinone</t>
        </is>
      </c>
      <c r="D35" s="40" t="n">
        <v>2</v>
      </c>
      <c r="E35" s="40" t="n">
        <v>8</v>
      </c>
      <c r="F35" s="39" t="inlineStr">
        <is>
          <t>Ballottaggio</t>
        </is>
      </c>
      <c r="G35" s="39" t="inlineStr">
        <is>
          <t>No</t>
        </is>
      </c>
      <c r="H35" s="41" t="inlineStr">
        <is>
          <t>Possibile sorpresa</t>
        </is>
      </c>
      <c r="I35" s="40" t="n">
        <v>4</v>
      </c>
      <c r="J35" s="41" t="inlineStr">
        <is>
          <t>Può soffiare la titolarità a Palmisani nel Frosinone: chiamata a 1-2 che può fruttare</t>
        </is>
      </c>
    </row>
    <row r="36" ht="26" customHeight="1">
      <c r="A36" s="42" t="n">
        <v>3</v>
      </c>
      <c r="B36" s="43" t="inlineStr">
        <is>
          <t>Corvi</t>
        </is>
      </c>
      <c r="C36" s="35" t="inlineStr">
        <is>
          <t>Parma</t>
        </is>
      </c>
      <c r="D36" s="10" t="n">
        <v>1</v>
      </c>
      <c r="E36" s="10" t="n">
        <v>1</v>
      </c>
      <c r="F36" s="35" t="inlineStr">
        <is>
          <t>Titolare (Suzuki al PSG)</t>
        </is>
      </c>
      <c r="G36" s="35" t="inlineStr">
        <is>
          <t>No</t>
        </is>
      </c>
      <c r="H36" s="36" t="inlineStr">
        <is>
          <t>6 clean sheet da subentrato nel 25/26</t>
        </is>
      </c>
      <c r="I36" s="10" t="n">
        <v>3</v>
      </c>
      <c r="J36" s="36" t="inlineStr">
        <is>
          <t>Titolare col via libera Suzuki-PSG (transizione in corso), Daffara ko. Ormai noto: non arriverà a 1.</t>
        </is>
      </c>
    </row>
    <row r="37">
      <c r="A37" s="37" t="n">
        <v>4</v>
      </c>
      <c r="B37" s="38" t="inlineStr">
        <is>
          <t>Perin</t>
        </is>
      </c>
      <c r="C37" s="39" t="inlineStr">
        <is>
          <t>Juventus</t>
        </is>
      </c>
      <c r="D37" s="40" t="n">
        <v>6</v>
      </c>
      <c r="E37" s="40" t="n">
        <v>10</v>
      </c>
      <c r="F37" s="39" t="inlineStr">
        <is>
          <t>Possibile titolare 1ª</t>
        </is>
      </c>
      <c r="G37" s="39" t="inlineStr">
        <is>
          <t>No</t>
        </is>
      </c>
      <c r="H37" s="41" t="inlineStr">
        <is>
          <t>Affidabile quando chiamato</t>
        </is>
      </c>
      <c r="I37" s="40" t="n">
        <v>3</v>
      </c>
      <c r="J37" s="41" t="inlineStr">
        <is>
          <t>Con la porta Juve nel caos è LUI il candidato per la 1ª (alternanza dichiarata da Spalletti, titolare col Palermo): a 1-2 crediti scommessa sensata in attesa di Vicario.</t>
        </is>
      </c>
    </row>
    <row r="38">
      <c r="A38" s="42" t="n">
        <v>5</v>
      </c>
      <c r="B38" s="43" t="inlineStr">
        <is>
          <t>Palmisani</t>
        </is>
      </c>
      <c r="C38" s="35" t="inlineStr">
        <is>
          <t>Frosinone</t>
        </is>
      </c>
      <c r="D38" s="10" t="n">
        <v>4</v>
      </c>
      <c r="E38" s="10" t="n">
        <v>8</v>
      </c>
      <c r="F38" s="35" t="inlineStr">
        <is>
          <t>Favorito (~65%)</t>
        </is>
      </c>
      <c r="G38" s="35" t="inlineStr">
        <is>
          <t>No</t>
        </is>
      </c>
      <c r="H38" s="36" t="inlineStr">
        <is>
          <t>Titolare in B col Frosinone</t>
        </is>
      </c>
      <c r="I38" s="10" t="n">
        <v>3</v>
      </c>
      <c r="J38" s="36" t="inlineStr">
        <is>
          <t>Titolare nelle ultime 2 amichevoli (Desplanches entra al 70'): più avanti di quanto si creda. Scommessa da 1-2.</t>
        </is>
      </c>
    </row>
    <row r="39">
      <c r="A39" s="37" t="n">
        <v>6</v>
      </c>
      <c r="B39" s="38" t="inlineStr">
        <is>
          <t>Turati</t>
        </is>
      </c>
      <c r="C39" s="39" t="inlineStr">
        <is>
          <t>Sassuolo</t>
        </is>
      </c>
      <c r="D39" s="40" t="n">
        <v>1</v>
      </c>
      <c r="E39" s="40" t="n">
        <v>3</v>
      </c>
      <c r="F39" s="39" t="inlineStr">
        <is>
          <t>Media</t>
        </is>
      </c>
      <c r="G39" s="39" t="inlineStr">
        <is>
          <t>No</t>
        </is>
      </c>
      <c r="H39" s="41" t="inlineStr">
        <is>
          <t>Possibile rilancio</t>
        </is>
      </c>
      <c r="I39" s="40" t="n">
        <v>2</v>
      </c>
      <c r="J39" s="41" t="inlineStr">
        <is>
          <t>Dopo i capricci può riprendersi la porta del Sassuolo</t>
        </is>
      </c>
    </row>
    <row r="40">
      <c r="A40" s="42" t="n">
        <v>7</v>
      </c>
      <c r="B40" s="43" t="inlineStr">
        <is>
          <t>Sportiello</t>
        </is>
      </c>
      <c r="C40" s="35" t="inlineStr">
        <is>
          <t>Atalanta</t>
        </is>
      </c>
      <c r="D40" s="10" t="n">
        <v>1</v>
      </c>
      <c r="E40" s="10" t="n">
        <v>1</v>
      </c>
      <c r="F40" s="35" t="inlineStr">
        <is>
          <t>Bassa</t>
        </is>
      </c>
      <c r="G40" s="35" t="inlineStr">
        <is>
          <t>No</t>
        </is>
      </c>
      <c r="H40" s="36" t="inlineStr">
        <is>
          <t>Vice affidabile</t>
        </is>
      </c>
      <c r="I40" s="10" t="n">
        <v>1</v>
      </c>
      <c r="J40" s="36" t="inlineStr">
        <is>
          <t>Vice Carnesecchi: copertura per chi ha il titolare Atalanta</t>
        </is>
      </c>
    </row>
    <row r="41">
      <c r="A41" s="37" t="n">
        <v>8</v>
      </c>
      <c r="B41" s="38" t="inlineStr">
        <is>
          <t>Daffara</t>
        </is>
      </c>
      <c r="C41" s="39" t="inlineStr">
        <is>
          <t>Parma</t>
        </is>
      </c>
      <c r="D41" s="40" t="n">
        <v>7</v>
      </c>
      <c r="E41" s="40" t="n">
        <v>5</v>
      </c>
      <c r="F41" s="39" t="inlineStr">
        <is>
          <t>Ballottaggio</t>
        </is>
      </c>
      <c r="G41" s="39" t="inlineStr">
        <is>
          <t>No</t>
        </is>
      </c>
      <c r="H41" s="41" t="inlineStr">
        <is>
          <t>Jolly Parma</t>
        </is>
      </c>
      <c r="I41" s="40" t="n">
        <v>2</v>
      </c>
      <c r="J41" s="41" t="inlineStr">
        <is>
          <t>In corsa per la porta del Parma in caso di cessione di Suzuki</t>
        </is>
      </c>
    </row>
    <row r="42">
      <c r="A42" s="42" t="n">
        <v>9</v>
      </c>
      <c r="B42" s="43" t="inlineStr">
        <is>
          <t>Motta</t>
        </is>
      </c>
      <c r="C42" s="35" t="inlineStr">
        <is>
          <t>Lazio</t>
        </is>
      </c>
      <c r="D42" s="10" t="n">
        <v>1</v>
      </c>
      <c r="E42" s="10" t="n">
        <v>1</v>
      </c>
      <c r="F42" s="35" t="inlineStr">
        <is>
          <t>Vice Mandas</t>
        </is>
      </c>
      <c r="G42" s="35" t="inlineStr">
        <is>
          <t>No</t>
        </is>
      </c>
      <c r="H42" s="36" t="inlineStr">
        <is>
          <t>Vicino in gerarchia (SOS)</t>
        </is>
      </c>
      <c r="I42" s="10" t="n">
        <v>1</v>
      </c>
      <c r="J42" s="36" t="inlineStr">
        <is>
          <t>A 1 credito: la coppia Mandas+Motta è il ponte-porta consigliato da SOS. Provedel ceduto all'Inter.</t>
        </is>
      </c>
    </row>
    <row r="43">
      <c r="A43" s="37" t="n">
        <v>10</v>
      </c>
      <c r="B43" s="38" t="inlineStr">
        <is>
          <t>Paleari</t>
        </is>
      </c>
      <c r="C43" s="39" t="inlineStr">
        <is>
          <t>Torino</t>
        </is>
      </c>
      <c r="D43" s="40" t="n">
        <v>1</v>
      </c>
      <c r="E43" s="40" t="n">
        <v>1</v>
      </c>
      <c r="F43" s="39" t="inlineStr">
        <is>
          <t>Ballottaggio a 3</t>
        </is>
      </c>
      <c r="G43" s="39" t="inlineStr">
        <is>
          <t>No</t>
        </is>
      </c>
      <c r="H43" s="41" t="inlineStr">
        <is>
          <t>Voti altissimi a tratti nel 25/26</t>
        </is>
      </c>
      <c r="I43" s="40" t="n">
        <v>1</v>
      </c>
      <c r="J43" s="41" t="inlineStr">
        <is>
          <t>Porta Toro IRRISOLTA: Perri arrivato ma non listato; fonti spaccate tra Mascardi e Paleari. Evitare in blocco.</t>
        </is>
      </c>
    </row>
    <row r="44">
      <c r="A44" s="42" t="n">
        <v>11</v>
      </c>
      <c r="B44" s="43" t="inlineStr">
        <is>
          <t>Terracciano</t>
        </is>
      </c>
      <c r="C44" s="35" t="inlineStr">
        <is>
          <t>Milan</t>
        </is>
      </c>
      <c r="D44" s="10" t="n">
        <v>1</v>
      </c>
      <c r="E44" s="10" t="n">
        <v>1</v>
      </c>
      <c r="F44" s="35" t="inlineStr">
        <is>
          <t>Bassa</t>
        </is>
      </c>
      <c r="G44" s="35" t="inlineStr">
        <is>
          <t>No</t>
        </is>
      </c>
      <c r="H44" s="36" t="inlineStr">
        <is>
          <t>Vice Maignan</t>
        </is>
      </c>
      <c r="I44" s="10" t="n">
        <v>1</v>
      </c>
      <c r="J44" s="36" t="inlineStr">
        <is>
          <t>Copertura per chi ha il titolare Milan</t>
        </is>
      </c>
    </row>
    <row r="45">
      <c r="A45" t="n">
        <v>12</v>
      </c>
      <c r="B45" t="inlineStr">
        <is>
          <t>Vismara</t>
        </is>
      </c>
      <c r="C45" t="inlineStr">
        <is>
          <t>Atalanta</t>
        </is>
      </c>
      <c r="D45" t="n">
        <v>1</v>
      </c>
      <c r="E45" t="n">
        <v>1</v>
      </c>
      <c r="F45" t="inlineStr">
        <is>
          <t>Bassa</t>
        </is>
      </c>
      <c r="G45" t="inlineStr">
        <is>
          <t>No</t>
        </is>
      </c>
      <c r="H45" t="inlineStr">
        <is>
          <t>Terzo Atalanta</t>
        </is>
      </c>
      <c r="I45" t="n">
        <v>1</v>
      </c>
      <c r="J45" t="inlineStr">
        <is>
          <t>Puro tappabuchi da ultimo slot</t>
        </is>
      </c>
    </row>
    <row r="46">
      <c r="A46" t="n">
        <v>13</v>
      </c>
      <c r="B46" t="inlineStr">
        <is>
          <t>Sherri</t>
        </is>
      </c>
      <c r="C46" t="inlineStr">
        <is>
          <t>Cagliari</t>
        </is>
      </c>
      <c r="D46" t="n">
        <v>1</v>
      </c>
      <c r="E46" t="n">
        <v>1</v>
      </c>
      <c r="F46" t="inlineStr">
        <is>
          <t>Bassa</t>
        </is>
      </c>
      <c r="G46" t="inlineStr">
        <is>
          <t>No</t>
        </is>
      </c>
      <c r="H46" t="inlineStr">
        <is>
          <t>Vice Caprile</t>
        </is>
      </c>
      <c r="I46" t="n">
        <v>1</v>
      </c>
      <c r="J46" t="inlineStr">
        <is>
          <t>Copertura Cagliari</t>
        </is>
      </c>
    </row>
  </sheetData>
  <mergeCells count="3">
    <mergeCell ref="A4:J4"/>
    <mergeCell ref="A32:J32"/>
    <mergeCell ref="A18:J18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10" defaultColWidth="8.6640625" defaultRowHeight="15"/>
  <cols>
    <col width="8" customWidth="1" min="1" max="1"/>
    <col width="18" customWidth="1" min="2" max="2"/>
    <col width="11" customWidth="1" min="3" max="3"/>
    <col width="6" customWidth="1" min="4" max="5"/>
    <col width="16" customWidth="1" min="6" max="7"/>
    <col width="34" customWidth="1" min="8" max="8"/>
    <col width="9" customWidth="1" min="9" max="9"/>
    <col width="52" customWidth="1" min="10" max="10"/>
  </cols>
  <sheetData>
    <row r="1" ht="18" customHeight="1">
      <c r="A1" s="33" t="inlineStr">
        <is>
          <t>DIFENSORI · target + 10 alternative per ogni slot, in ordine di priorità</t>
        </is>
      </c>
    </row>
    <row r="2">
      <c r="A2" s="4" t="inlineStr">
        <is>
          <t>Priorità 1 = target consigliato (già riportato nel foglio Asta). Se un nome è già stato battuto, passa al successivo. "Se non preso prima": nomi condivisi tra slot vicini del reparto.</t>
        </is>
      </c>
    </row>
    <row r="3"/>
    <row r="4">
      <c r="A4" s="1" t="inlineStr">
        <is>
          <t>SLOT D1 — Top assoluto da bonus (attaccante aggiunto) · budget consigliato: 55</t>
        </is>
      </c>
    </row>
    <row r="5" ht="28" customHeight="1">
      <c r="A5" s="44" t="inlineStr">
        <is>
          <t>Priorità</t>
        </is>
      </c>
      <c r="B5" s="44" t="inlineStr">
        <is>
          <t>Giocatore</t>
        </is>
      </c>
      <c r="C5" s="44" t="inlineStr">
        <is>
          <t>Squadra</t>
        </is>
      </c>
      <c r="D5" s="44" t="inlineStr">
        <is>
          <t>Qt.A</t>
        </is>
      </c>
      <c r="E5" s="44" t="inlineStr">
        <is>
          <t>FVM</t>
        </is>
      </c>
      <c r="F5" s="44" t="inlineStr">
        <is>
          <t>Titolarità</t>
        </is>
      </c>
      <c r="G5" s="44" t="inlineStr">
        <is>
          <t>Rigorista</t>
        </is>
      </c>
      <c r="H5" s="44" t="inlineStr">
        <is>
          <t>Bonus attesi / punti di forza</t>
        </is>
      </c>
      <c r="I5" s="44" t="inlineStr">
        <is>
          <t>Prezzo max</t>
        </is>
      </c>
      <c r="J5" s="44" t="inlineStr">
        <is>
          <t>Note</t>
        </is>
      </c>
    </row>
    <row r="6" ht="26" customHeight="1">
      <c r="A6" s="16" t="n">
        <v>1</v>
      </c>
      <c r="B6" s="5" t="inlineStr">
        <is>
          <t>Dimarco</t>
        </is>
      </c>
      <c r="C6" s="35" t="inlineStr">
        <is>
          <t>Inter</t>
        </is>
      </c>
      <c r="D6" s="10" t="n">
        <v>32</v>
      </c>
      <c r="E6" s="10" t="n">
        <v>265</v>
      </c>
      <c r="F6" s="35" t="inlineStr">
        <is>
          <t>Altissima</t>
        </is>
      </c>
      <c r="G6" s="35" t="inlineStr">
        <is>
          <t>No</t>
        </is>
      </c>
      <c r="H6" s="36" t="inlineStr">
        <is>
          <t>Vale un +3 a giornata col modificatore</t>
        </is>
      </c>
      <c r="I6" s="10" t="n">
        <v>60</v>
      </c>
      <c r="J6" s="36" t="inlineStr">
        <is>
          <t>Top assoluto: non è nemmeno un difensore, è l'investimento migliore possibile per la difesa</t>
        </is>
      </c>
    </row>
    <row r="7" ht="26" customHeight="1">
      <c r="A7" s="37" t="n">
        <v>2</v>
      </c>
      <c r="B7" s="38" t="inlineStr">
        <is>
          <t>Wesley</t>
        </is>
      </c>
      <c r="C7" s="39" t="inlineStr">
        <is>
          <t>Roma</t>
        </is>
      </c>
      <c r="D7" s="40" t="n">
        <v>17</v>
      </c>
      <c r="E7" s="40" t="n">
        <v>83</v>
      </c>
      <c r="F7" s="39" t="inlineStr">
        <is>
          <t>Altissima</t>
        </is>
      </c>
      <c r="G7" s="39" t="inlineStr">
        <is>
          <t>No</t>
        </is>
      </c>
      <c r="H7" s="41" t="inlineStr">
        <is>
          <t>5 gol nel 25/26, può migliorare</t>
        </is>
      </c>
      <c r="I7" s="40" t="n">
        <v>35</v>
      </c>
      <c r="J7" s="41" t="inlineStr">
        <is>
          <t>Stabile a sinistra ('dopo Dimarco c'è lui') MA peggior profilo fairplay tra i D top: 2 ESPULSIONI + 6 gialli nel 25/26. Scontare il malus.</t>
        </is>
      </c>
    </row>
    <row r="8" ht="26" customHeight="1">
      <c r="A8" s="42" t="n">
        <v>3</v>
      </c>
      <c r="B8" s="43" t="inlineStr">
        <is>
          <t>Bremer</t>
        </is>
      </c>
      <c r="C8" s="35" t="inlineStr">
        <is>
          <t>Juventus</t>
        </is>
      </c>
      <c r="D8" s="10" t="n">
        <v>15</v>
      </c>
      <c r="E8" s="10" t="n">
        <v>50</v>
      </c>
      <c r="F8" s="35" t="inlineStr">
        <is>
          <t>Altissima</t>
        </is>
      </c>
      <c r="G8" s="35" t="inlineStr">
        <is>
          <t>No</t>
        </is>
      </c>
      <c r="H8" s="36" t="inlineStr">
        <is>
          <t>4 gol e 3 assist, migliore fanta-media dopo Dimarco</t>
        </is>
      </c>
      <c r="I8" s="10" t="n">
        <v>30</v>
      </c>
      <c r="J8" s="36" t="inlineStr">
        <is>
          <t>Primo slot se gli infortuni lo lasciano in pace</t>
        </is>
      </c>
    </row>
    <row r="9">
      <c r="A9" s="37" t="n">
        <v>4</v>
      </c>
      <c r="B9" s="38" t="inlineStr">
        <is>
          <t>Mancini</t>
        </is>
      </c>
      <c r="C9" s="39" t="inlineStr">
        <is>
          <t>Roma</t>
        </is>
      </c>
      <c r="D9" s="40" t="n">
        <v>15</v>
      </c>
      <c r="E9" s="40" t="n">
        <v>49</v>
      </c>
      <c r="F9" s="39" t="inlineStr">
        <is>
          <t>Altissima</t>
        </is>
      </c>
      <c r="G9" s="39" t="inlineStr">
        <is>
          <t>No</t>
        </is>
      </c>
      <c r="H9" s="41" t="inlineStr">
        <is>
          <t>4 gol, fanta-media 6,5</t>
        </is>
      </c>
      <c r="I9" s="40" t="n">
        <v>28</v>
      </c>
      <c r="J9" s="41" t="inlineStr">
        <is>
          <t>Leader assoluto della Roma di Gasperini</t>
        </is>
      </c>
    </row>
    <row r="10">
      <c r="A10" s="42" t="n">
        <v>5</v>
      </c>
      <c r="B10" s="43" t="inlineStr">
        <is>
          <t>Akanji</t>
        </is>
      </c>
      <c r="C10" s="35" t="inlineStr">
        <is>
          <t>Inter</t>
        </is>
      </c>
      <c r="D10" s="10" t="n">
        <v>16</v>
      </c>
      <c r="E10" s="10" t="n">
        <v>55</v>
      </c>
      <c r="F10" s="35" t="inlineStr">
        <is>
          <t>Altissima</t>
        </is>
      </c>
      <c r="G10" s="35" t="inlineStr">
        <is>
          <t>No</t>
        </is>
      </c>
      <c r="H10" s="36" t="inlineStr">
        <is>
          <t>Voti alti da leader difensivo</t>
        </is>
      </c>
      <c r="I10" s="10" t="n">
        <v>26</v>
      </c>
      <c r="J10" s="36" t="inlineStr">
        <is>
          <t>Perno della miglior difesa d'Italia</t>
        </is>
      </c>
    </row>
    <row r="11">
      <c r="A11" s="37" t="n">
        <v>6</v>
      </c>
      <c r="B11" s="38" t="inlineStr">
        <is>
          <t>Pavlovic</t>
        </is>
      </c>
      <c r="C11" s="39" t="inlineStr">
        <is>
          <t>Milan</t>
        </is>
      </c>
      <c r="D11" s="40" t="n">
        <v>14</v>
      </c>
      <c r="E11" s="40" t="n">
        <v>48</v>
      </c>
      <c r="F11" s="39" t="inlineStr">
        <is>
          <t>Altissima</t>
        </is>
      </c>
      <c r="G11" s="39" t="inlineStr">
        <is>
          <t>No</t>
        </is>
      </c>
      <c r="H11" s="41" t="inlineStr">
        <is>
          <t>Gol di testa sui piazzati</t>
        </is>
      </c>
      <c r="I11" s="40" t="n">
        <v>25</v>
      </c>
      <c r="J11" s="41" t="inlineStr">
        <is>
          <t>Molto prolifico, titolarissimo del Milan</t>
        </is>
      </c>
    </row>
    <row r="12">
      <c r="A12" s="42" t="n">
        <v>7</v>
      </c>
      <c r="B12" s="43" t="inlineStr">
        <is>
          <t>Bastoni</t>
        </is>
      </c>
      <c r="C12" s="35" t="inlineStr">
        <is>
          <t>Inter</t>
        </is>
      </c>
      <c r="D12" s="10" t="n">
        <v>14</v>
      </c>
      <c r="E12" s="10" t="n">
        <v>44</v>
      </c>
      <c r="F12" s="35" t="inlineStr">
        <is>
          <t>Altissima</t>
        </is>
      </c>
      <c r="G12" s="35" t="inlineStr">
        <is>
          <t>No</t>
        </is>
      </c>
      <c r="H12" s="36" t="inlineStr">
        <is>
          <t>Assist dalla difesa a tre</t>
        </is>
      </c>
      <c r="I12" s="10" t="n">
        <v>24</v>
      </c>
      <c r="J12" s="36" t="inlineStr">
        <is>
          <t>Qualità e continuità, sempre da modificatore</t>
        </is>
      </c>
    </row>
    <row r="13">
      <c r="A13" s="37" t="n">
        <v>8</v>
      </c>
      <c r="B13" s="38" t="inlineStr">
        <is>
          <t>Rrahmani</t>
        </is>
      </c>
      <c r="C13" s="39" t="inlineStr">
        <is>
          <t>Napoli</t>
        </is>
      </c>
      <c r="D13" s="40" t="n">
        <v>14</v>
      </c>
      <c r="E13" s="40" t="n">
        <v>47</v>
      </c>
      <c r="F13" s="39" t="inlineStr">
        <is>
          <t>Altissima</t>
        </is>
      </c>
      <c r="G13" s="39" t="inlineStr">
        <is>
          <t>No</t>
        </is>
      </c>
      <c r="H13" s="41" t="inlineStr">
        <is>
          <t>Perno del Napoli di Allegri</t>
        </is>
      </c>
      <c r="I13" s="40" t="n">
        <v>22</v>
      </c>
      <c r="J13" s="41" t="inlineStr">
        <is>
          <t>Voti costanti nella difesa campione</t>
        </is>
      </c>
    </row>
    <row r="14">
      <c r="A14" s="42" t="n">
        <v>9</v>
      </c>
      <c r="B14" s="43" t="inlineStr">
        <is>
          <t>Bisseck</t>
        </is>
      </c>
      <c r="C14" s="35" t="inlineStr">
        <is>
          <t>Inter</t>
        </is>
      </c>
      <c r="D14" s="10" t="n">
        <v>11</v>
      </c>
      <c r="E14" s="10" t="n">
        <v>33</v>
      </c>
      <c r="F14" s="35" t="inlineStr">
        <is>
          <t>Ballottaggio</t>
        </is>
      </c>
      <c r="G14" s="35" t="inlineStr">
        <is>
          <t>No</t>
        </is>
      </c>
      <c r="H14" s="36" t="inlineStr">
        <is>
          <t>Voti alti e bonus</t>
        </is>
      </c>
      <c r="I14" s="10" t="n">
        <v>12</v>
      </c>
      <c r="J14" s="36" t="inlineStr">
        <is>
          <t>Stones favorito 60/40 nelle probabili: ballottaggio confermato, paga mezza fascia sotto.</t>
        </is>
      </c>
    </row>
    <row r="15">
      <c r="A15" s="37" t="n">
        <v>10</v>
      </c>
      <c r="B15" s="38" t="inlineStr">
        <is>
          <t>Solet</t>
        </is>
      </c>
      <c r="C15" s="39" t="inlineStr">
        <is>
          <t>Udinese</t>
        </is>
      </c>
      <c r="D15" s="40" t="n">
        <v>13</v>
      </c>
      <c r="E15" s="40" t="n">
        <v>46</v>
      </c>
      <c r="F15" s="39" t="inlineStr">
        <is>
          <t>Altissima</t>
        </is>
      </c>
      <c r="G15" s="39" t="inlineStr">
        <is>
          <t>No</t>
        </is>
      </c>
      <c r="H15" s="41" t="inlineStr">
        <is>
          <t>Qualità in impostazione + gol</t>
        </is>
      </c>
      <c r="I15" s="40" t="n">
        <v>20</v>
      </c>
      <c r="J15" s="41" t="inlineStr">
        <is>
          <t>Titolare 7/7 e SOLO 1 giallo in 35 presenze: il centrale pulito ideale per il fairplay. Mercato 'pendente' per SOS: monitorare.</t>
        </is>
      </c>
    </row>
    <row r="16">
      <c r="A16" s="42" t="n">
        <v>11</v>
      </c>
      <c r="B16" s="43" t="inlineStr">
        <is>
          <t>N'Dicka</t>
        </is>
      </c>
      <c r="C16" s="35" t="inlineStr">
        <is>
          <t>Roma</t>
        </is>
      </c>
      <c r="D16" s="10" t="n">
        <v>13</v>
      </c>
      <c r="E16" s="10" t="n">
        <v>44</v>
      </c>
      <c r="F16" s="35" t="inlineStr">
        <is>
          <t>Altissima</t>
        </is>
      </c>
      <c r="G16" s="35" t="inlineStr">
        <is>
          <t>No</t>
        </is>
      </c>
      <c r="H16" s="36" t="inlineStr">
        <is>
          <t>Gol sui piazzati</t>
        </is>
      </c>
      <c r="I16" s="10" t="n">
        <v>20</v>
      </c>
      <c r="J16" s="36" t="inlineStr">
        <is>
          <t>Sempre presente, difesa a tre di Gasperini lo esalta</t>
        </is>
      </c>
    </row>
    <row r="17"/>
    <row r="18">
      <c r="A18" s="1" t="inlineStr">
        <is>
          <t>SLOT D2 — Esterno da bonus (gol+assist) · budget consigliato: 25</t>
        </is>
      </c>
    </row>
    <row r="19" ht="28" customHeight="1">
      <c r="A19" s="44" t="inlineStr">
        <is>
          <t>Priorità</t>
        </is>
      </c>
      <c r="B19" s="44" t="inlineStr">
        <is>
          <t>Giocatore</t>
        </is>
      </c>
      <c r="C19" s="44" t="inlineStr">
        <is>
          <t>Squadra</t>
        </is>
      </c>
      <c r="D19" s="44" t="inlineStr">
        <is>
          <t>Qt.A</t>
        </is>
      </c>
      <c r="E19" s="44" t="inlineStr">
        <is>
          <t>FVM</t>
        </is>
      </c>
      <c r="F19" s="44" t="inlineStr">
        <is>
          <t>Titolarità</t>
        </is>
      </c>
      <c r="G19" s="44" t="inlineStr">
        <is>
          <t>Rigorista</t>
        </is>
      </c>
      <c r="H19" s="44" t="inlineStr">
        <is>
          <t>Bonus attesi / punti di forza</t>
        </is>
      </c>
      <c r="I19" s="44" t="inlineStr">
        <is>
          <t>Prezzo max</t>
        </is>
      </c>
      <c r="J19" s="44" t="inlineStr">
        <is>
          <t>Note</t>
        </is>
      </c>
    </row>
    <row r="20">
      <c r="A20" s="16" t="n">
        <v>1</v>
      </c>
      <c r="B20" s="5" t="inlineStr">
        <is>
          <t>Wesley</t>
        </is>
      </c>
      <c r="C20" s="35" t="inlineStr">
        <is>
          <t>Roma</t>
        </is>
      </c>
      <c r="D20" s="10" t="n">
        <v>17</v>
      </c>
      <c r="E20" s="10" t="n">
        <v>83</v>
      </c>
      <c r="F20" s="35" t="inlineStr">
        <is>
          <t>Altissima</t>
        </is>
      </c>
      <c r="G20" s="35" t="inlineStr">
        <is>
          <t>No</t>
        </is>
      </c>
      <c r="H20" s="36" t="inlineStr">
        <is>
          <t>Quinto a tutta fascia, 5+ gol attesi</t>
        </is>
      </c>
      <c r="I20" s="10" t="n">
        <v>35</v>
      </c>
      <c r="J20" s="36" t="inlineStr">
        <is>
          <t>Titolare certo MA 2 espulsioni + 6 gialli nel 25/26: col bonus fairplay il malus pesa doppio.</t>
        </is>
      </c>
    </row>
    <row r="21">
      <c r="A21" s="37" t="n">
        <v>2</v>
      </c>
      <c r="B21" s="38" t="inlineStr">
        <is>
          <t>Di Lorenzo</t>
        </is>
      </c>
      <c r="C21" s="39" t="inlineStr">
        <is>
          <t>Napoli</t>
        </is>
      </c>
      <c r="D21" s="40" t="n">
        <v>12</v>
      </c>
      <c r="E21" s="40" t="n">
        <v>40</v>
      </c>
      <c r="F21" s="39" t="inlineStr">
        <is>
          <t>Altissima</t>
        </is>
      </c>
      <c r="G21" s="39" t="inlineStr">
        <is>
          <t>No</t>
        </is>
      </c>
      <c r="H21" s="41" t="inlineStr">
        <is>
          <t>Gol+assist da capitano</t>
        </is>
      </c>
      <c r="I21" s="40" t="n">
        <v>18</v>
      </c>
      <c r="J21" s="41" t="inlineStr">
        <is>
          <t>Sempre in campo, proiezione offensiva costante</t>
        </is>
      </c>
    </row>
    <row r="22">
      <c r="A22" s="42" t="n">
        <v>3</v>
      </c>
      <c r="B22" s="43" t="inlineStr">
        <is>
          <t>Cambiaso</t>
        </is>
      </c>
      <c r="C22" s="35" t="inlineStr">
        <is>
          <t>Juventus</t>
        </is>
      </c>
      <c r="D22" s="10" t="n">
        <v>9</v>
      </c>
      <c r="E22" s="10" t="n">
        <v>27</v>
      </c>
      <c r="F22" s="35" t="inlineStr">
        <is>
          <t>Altissima</t>
        </is>
      </c>
      <c r="G22" s="35" t="inlineStr">
        <is>
          <t>No</t>
        </is>
      </c>
      <c r="H22" s="36" t="inlineStr">
        <is>
          <t>Jolly su entrambe le fasce</t>
        </is>
      </c>
      <c r="I22" s="10" t="n">
        <v>15</v>
      </c>
      <c r="J22" s="36" t="inlineStr">
        <is>
          <t>Ottimo rapporto qualità-prezzo, con Spalletti gioca sempre</t>
        </is>
      </c>
    </row>
    <row r="23">
      <c r="A23" s="37" t="n">
        <v>4</v>
      </c>
      <c r="B23" s="38" t="inlineStr">
        <is>
          <t>Zappacosta</t>
        </is>
      </c>
      <c r="C23" s="39" t="inlineStr">
        <is>
          <t>Atalanta</t>
        </is>
      </c>
      <c r="D23" s="40" t="n">
        <v>8</v>
      </c>
      <c r="E23" s="40" t="n">
        <v>24</v>
      </c>
      <c r="F23" s="39" t="inlineStr">
        <is>
          <t>Alta</t>
        </is>
      </c>
      <c r="G23" s="39" t="inlineStr">
        <is>
          <t>No</t>
        </is>
      </c>
      <c r="H23" s="41" t="inlineStr">
        <is>
          <t>Spinta costante</t>
        </is>
      </c>
      <c r="I23" s="40" t="n">
        <v>12</v>
      </c>
      <c r="J23" s="41" t="inlineStr">
        <is>
          <t>Con Sarri torna al ruolo di quinto puro</t>
        </is>
      </c>
    </row>
    <row r="24">
      <c r="A24" s="42" t="n">
        <v>5</v>
      </c>
      <c r="B24" s="43" t="inlineStr">
        <is>
          <t>Dodò</t>
        </is>
      </c>
      <c r="C24" s="35" t="inlineStr">
        <is>
          <t>Fiorentina</t>
        </is>
      </c>
      <c r="D24" s="10" t="n">
        <v>10</v>
      </c>
      <c r="E24" s="10" t="n">
        <v>30</v>
      </c>
      <c r="F24" s="35" t="inlineStr">
        <is>
          <t>Favorito su Joao Mario</t>
        </is>
      </c>
      <c r="G24" s="35" t="inlineStr">
        <is>
          <t>No</t>
        </is>
      </c>
      <c r="H24" s="36" t="inlineStr">
        <is>
          <t>Assist a raffica</t>
        </is>
      </c>
      <c r="I24" s="10" t="n">
        <v>12</v>
      </c>
      <c r="J24" s="36" t="inlineStr">
        <is>
          <t>RIBALTONE: nettamente favorito (Joao Mario terzo). Resta rischio mercato (Milan) e 7 gialli/anno: sconto sì, saldo estremo no.</t>
        </is>
      </c>
    </row>
    <row r="25">
      <c r="A25" s="37" t="n">
        <v>6</v>
      </c>
      <c r="B25" s="38" t="inlineStr">
        <is>
          <t>Spinazzola</t>
        </is>
      </c>
      <c r="C25" s="39" t="inlineStr">
        <is>
          <t>Napoli</t>
        </is>
      </c>
      <c r="D25" s="40" t="n">
        <v>8</v>
      </c>
      <c r="E25" s="40" t="n">
        <v>24</v>
      </c>
      <c r="F25" s="39" t="inlineStr">
        <is>
          <t>Alta</t>
        </is>
      </c>
      <c r="G25" s="39" t="inlineStr">
        <is>
          <t>No</t>
        </is>
      </c>
      <c r="H25" s="41" t="inlineStr">
        <is>
          <t>Assist e giocate da esterno</t>
        </is>
      </c>
      <c r="I25" s="40" t="n">
        <v>12</v>
      </c>
      <c r="J25" s="41" t="inlineStr">
        <is>
          <t>Spesso sottovalutato ma sempre prezioso</t>
        </is>
      </c>
    </row>
    <row r="26">
      <c r="A26" s="42" t="n">
        <v>7</v>
      </c>
      <c r="B26" s="43" t="inlineStr">
        <is>
          <t>Miranda J.</t>
        </is>
      </c>
      <c r="C26" s="35" t="inlineStr">
        <is>
          <t>Bologna</t>
        </is>
      </c>
      <c r="D26" s="10" t="n">
        <v>8</v>
      </c>
      <c r="E26" s="10" t="n">
        <v>24</v>
      </c>
      <c r="F26" s="35" t="inlineStr">
        <is>
          <t>Alta</t>
        </is>
      </c>
      <c r="G26" s="35" t="inlineStr">
        <is>
          <t>No</t>
        </is>
      </c>
      <c r="H26" s="36" t="inlineStr">
        <is>
          <t>Cross e piazzati</t>
        </is>
      </c>
      <c r="I26" s="10" t="n">
        <v>10</v>
      </c>
      <c r="J26" s="36" t="inlineStr">
        <is>
          <t>Titolare a sinistra nel Bologna da Europa</t>
        </is>
      </c>
    </row>
    <row r="27">
      <c r="A27" s="37" t="n">
        <v>8</v>
      </c>
      <c r="B27" s="38" t="inlineStr">
        <is>
          <t>Valeri</t>
        </is>
      </c>
      <c r="C27" s="39" t="inlineStr">
        <is>
          <t>Parma</t>
        </is>
      </c>
      <c r="D27" s="40" t="n">
        <v>8</v>
      </c>
      <c r="E27" s="40" t="n">
        <v>24</v>
      </c>
      <c r="F27" s="39" t="inlineStr">
        <is>
          <t>Alta</t>
        </is>
      </c>
      <c r="G27" s="39" t="inlineStr">
        <is>
          <t>Alternativa</t>
        </is>
      </c>
      <c r="H27" s="41" t="inlineStr">
        <is>
          <t>Piazzati + possibili rigori</t>
        </is>
      </c>
      <c r="I27" s="40" t="n">
        <v>10</v>
      </c>
      <c r="J27" s="41" t="inlineStr">
        <is>
          <t>Nel Parma può battere anche i rigori se parte Pellegrino</t>
        </is>
      </c>
    </row>
    <row r="28">
      <c r="A28" s="42" t="n">
        <v>9</v>
      </c>
      <c r="B28" s="43" t="inlineStr">
        <is>
          <t>Couto</t>
        </is>
      </c>
      <c r="C28" s="35" t="inlineStr">
        <is>
          <t>Como</t>
        </is>
      </c>
      <c r="D28" s="10" t="n">
        <v>8</v>
      </c>
      <c r="E28" s="10" t="n">
        <v>27</v>
      </c>
      <c r="F28" s="35" t="inlineStr">
        <is>
          <t>Alta</t>
        </is>
      </c>
      <c r="G28" s="35" t="inlineStr">
        <is>
          <t>No</t>
        </is>
      </c>
      <c r="H28" s="36" t="inlineStr">
        <is>
          <t>Spinta nel Como di Fabregas</t>
        </is>
      </c>
      <c r="I28" s="10" t="n">
        <v>10</v>
      </c>
      <c r="J28" s="36" t="inlineStr">
        <is>
          <t>Corsia destra, bonus in arrivo</t>
        </is>
      </c>
    </row>
    <row r="29">
      <c r="A29" s="37" t="n">
        <v>10</v>
      </c>
      <c r="B29" s="38" t="inlineStr">
        <is>
          <t>Bellanova</t>
        </is>
      </c>
      <c r="C29" s="39" t="inlineStr">
        <is>
          <t>Atalanta</t>
        </is>
      </c>
      <c r="D29" s="40" t="n">
        <v>6</v>
      </c>
      <c r="E29" s="40" t="n">
        <v>15</v>
      </c>
      <c r="F29" s="39" t="inlineStr">
        <is>
          <t>Alta</t>
        </is>
      </c>
      <c r="G29" s="39" t="inlineStr">
        <is>
          <t>No</t>
        </is>
      </c>
      <c r="H29" s="41" t="inlineStr">
        <is>
          <t>Quasi doppia cifra di assist</t>
        </is>
      </c>
      <c r="I29" s="40" t="n">
        <v>9</v>
      </c>
      <c r="J29" s="41" t="inlineStr">
        <is>
          <t>Garanzia di assist assoluta</t>
        </is>
      </c>
    </row>
    <row r="30">
      <c r="A30" s="42" t="n">
        <v>11</v>
      </c>
      <c r="B30" s="43" t="inlineStr">
        <is>
          <t>Bartesaghi</t>
        </is>
      </c>
      <c r="C30" s="35" t="inlineStr">
        <is>
          <t>Milan</t>
        </is>
      </c>
      <c r="D30" s="10" t="n">
        <v>8</v>
      </c>
      <c r="E30" s="10" t="n">
        <v>25</v>
      </c>
      <c r="F30" s="35" t="inlineStr">
        <is>
          <t>Alta</t>
        </is>
      </c>
      <c r="G30" s="35" t="inlineStr">
        <is>
          <t>No</t>
        </is>
      </c>
      <c r="H30" s="36" t="inlineStr">
        <is>
          <t>Crescita continua</t>
        </is>
      </c>
      <c r="I30" s="10" t="n">
        <v>9</v>
      </c>
      <c r="J30" s="36" t="inlineStr">
        <is>
          <t>Titolare a sinistra nel Milan di Amorim</t>
        </is>
      </c>
    </row>
    <row r="31"/>
    <row r="32">
      <c r="A32" s="1" t="inlineStr">
        <is>
          <t>SLOT D3 — Centrale big da modificatore · budget consigliato: 15</t>
        </is>
      </c>
    </row>
    <row r="33" ht="28" customHeight="1">
      <c r="A33" s="44" t="inlineStr">
        <is>
          <t>Priorità</t>
        </is>
      </c>
      <c r="B33" s="44" t="inlineStr">
        <is>
          <t>Giocatore</t>
        </is>
      </c>
      <c r="C33" s="44" t="inlineStr">
        <is>
          <t>Squadra</t>
        </is>
      </c>
      <c r="D33" s="44" t="inlineStr">
        <is>
          <t>Qt.A</t>
        </is>
      </c>
      <c r="E33" s="44" t="inlineStr">
        <is>
          <t>FVM</t>
        </is>
      </c>
      <c r="F33" s="44" t="inlineStr">
        <is>
          <t>Titolarità</t>
        </is>
      </c>
      <c r="G33" s="44" t="inlineStr">
        <is>
          <t>Rigorista</t>
        </is>
      </c>
      <c r="H33" s="44" t="inlineStr">
        <is>
          <t>Bonus attesi / punti di forza</t>
        </is>
      </c>
      <c r="I33" s="44" t="inlineStr">
        <is>
          <t>Prezzo max</t>
        </is>
      </c>
      <c r="J33" s="44" t="inlineStr">
        <is>
          <t>Note</t>
        </is>
      </c>
    </row>
    <row r="34">
      <c r="A34" s="16" t="n">
        <v>1</v>
      </c>
      <c r="B34" s="5" t="inlineStr">
        <is>
          <t>Akanji</t>
        </is>
      </c>
      <c r="C34" s="35" t="inlineStr">
        <is>
          <t>Inter</t>
        </is>
      </c>
      <c r="D34" s="10" t="n">
        <v>16</v>
      </c>
      <c r="E34" s="10" t="n">
        <v>55</v>
      </c>
      <c r="F34" s="35" t="inlineStr">
        <is>
          <t>Altissima</t>
        </is>
      </c>
      <c r="G34" s="35" t="inlineStr">
        <is>
          <t>No</t>
        </is>
      </c>
      <c r="H34" s="36" t="inlineStr">
        <is>
          <t>Modificatore garantito</t>
        </is>
      </c>
      <c r="I34" s="10" t="n">
        <v>26</v>
      </c>
      <c r="J34" s="36" t="inlineStr">
        <is>
          <t>Se non preso come D1</t>
        </is>
      </c>
    </row>
    <row r="35">
      <c r="A35" s="37" t="n">
        <v>2</v>
      </c>
      <c r="B35" s="38" t="inlineStr">
        <is>
          <t>Bastoni</t>
        </is>
      </c>
      <c r="C35" s="39" t="inlineStr">
        <is>
          <t>Inter</t>
        </is>
      </c>
      <c r="D35" s="40" t="n">
        <v>14</v>
      </c>
      <c r="E35" s="40" t="n">
        <v>44</v>
      </c>
      <c r="F35" s="39" t="inlineStr">
        <is>
          <t>Altissima</t>
        </is>
      </c>
      <c r="G35" s="39" t="inlineStr">
        <is>
          <t>No</t>
        </is>
      </c>
      <c r="H35" s="41" t="inlineStr">
        <is>
          <t>Assist + modificatore</t>
        </is>
      </c>
      <c r="I35" s="40" t="n">
        <v>24</v>
      </c>
      <c r="J35" s="41" t="inlineStr">
        <is>
          <t>Se non preso come D1</t>
        </is>
      </c>
    </row>
    <row r="36">
      <c r="A36" s="42" t="n">
        <v>3</v>
      </c>
      <c r="B36" s="43" t="inlineStr">
        <is>
          <t>Rrahmani</t>
        </is>
      </c>
      <c r="C36" s="35" t="inlineStr">
        <is>
          <t>Napoli</t>
        </is>
      </c>
      <c r="D36" s="10" t="n">
        <v>14</v>
      </c>
      <c r="E36" s="10" t="n">
        <v>47</v>
      </c>
      <c r="F36" s="35" t="inlineStr">
        <is>
          <t>Altissima</t>
        </is>
      </c>
      <c r="G36" s="35" t="inlineStr">
        <is>
          <t>No</t>
        </is>
      </c>
      <c r="H36" s="36" t="inlineStr">
        <is>
          <t>Napoli miglior difesa</t>
        </is>
      </c>
      <c r="I36" s="10" t="n">
        <v>22</v>
      </c>
      <c r="J36" s="36" t="inlineStr">
        <is>
          <t>Se non preso come D1</t>
        </is>
      </c>
    </row>
    <row r="37">
      <c r="A37" s="37" t="n">
        <v>4</v>
      </c>
      <c r="B37" s="38" t="inlineStr">
        <is>
          <t>Pavlovic</t>
        </is>
      </c>
      <c r="C37" s="39" t="inlineStr">
        <is>
          <t>Milan</t>
        </is>
      </c>
      <c r="D37" s="40" t="n">
        <v>14</v>
      </c>
      <c r="E37" s="40" t="n">
        <v>48</v>
      </c>
      <c r="F37" s="39" t="inlineStr">
        <is>
          <t>Altissima</t>
        </is>
      </c>
      <c r="G37" s="39" t="inlineStr">
        <is>
          <t>No</t>
        </is>
      </c>
      <c r="H37" s="41" t="inlineStr">
        <is>
          <t>Gol + voti</t>
        </is>
      </c>
      <c r="I37" s="40" t="n">
        <v>25</v>
      </c>
      <c r="J37" s="41" t="inlineStr">
        <is>
          <t>Se non preso come D1</t>
        </is>
      </c>
    </row>
    <row r="38">
      <c r="A38" s="42" t="n">
        <v>5</v>
      </c>
      <c r="B38" s="43" t="inlineStr">
        <is>
          <t>Solet</t>
        </is>
      </c>
      <c r="C38" s="35" t="inlineStr">
        <is>
          <t>Udinese</t>
        </is>
      </c>
      <c r="D38" s="10" t="n">
        <v>13</v>
      </c>
      <c r="E38" s="10" t="n">
        <v>46</v>
      </c>
      <c r="F38" s="35" t="inlineStr">
        <is>
          <t>Altissima</t>
        </is>
      </c>
      <c r="G38" s="35" t="inlineStr">
        <is>
          <t>No</t>
        </is>
      </c>
      <c r="H38" s="36" t="inlineStr">
        <is>
          <t>Bonus dal nulla</t>
        </is>
      </c>
      <c r="I38" s="10" t="n">
        <v>20</v>
      </c>
      <c r="J38" s="36" t="inlineStr">
        <is>
          <t>Se non preso come D1</t>
        </is>
      </c>
    </row>
    <row r="39">
      <c r="A39" s="37" t="n">
        <v>6</v>
      </c>
      <c r="B39" s="38" t="inlineStr">
        <is>
          <t>Kalulu</t>
        </is>
      </c>
      <c r="C39" s="39" t="inlineStr">
        <is>
          <t>Juventus</t>
        </is>
      </c>
      <c r="D39" s="40" t="n">
        <v>13</v>
      </c>
      <c r="E39" s="40" t="n">
        <v>46</v>
      </c>
      <c r="F39" s="39" t="inlineStr">
        <is>
          <t>Altissima</t>
        </is>
      </c>
      <c r="G39" s="39" t="inlineStr">
        <is>
          <t>No</t>
        </is>
      </c>
      <c r="H39" s="41" t="inlineStr">
        <is>
          <t>Doppio ruolo Dd;Dc</t>
        </is>
      </c>
      <c r="I39" s="40" t="n">
        <v>16</v>
      </c>
      <c r="J39" s="41" t="inlineStr">
        <is>
          <t>SMENTITO l'impiego a centrocampo: terzino destro titolare (55/45 su Celik).</t>
        </is>
      </c>
    </row>
    <row r="40">
      <c r="A40" s="42" t="n">
        <v>7</v>
      </c>
      <c r="B40" s="43" t="inlineStr">
        <is>
          <t>N'Dicka</t>
        </is>
      </c>
      <c r="C40" s="35" t="inlineStr">
        <is>
          <t>Roma</t>
        </is>
      </c>
      <c r="D40" s="10" t="n">
        <v>13</v>
      </c>
      <c r="E40" s="10" t="n">
        <v>44</v>
      </c>
      <c r="F40" s="35" t="inlineStr">
        <is>
          <t>Altissima</t>
        </is>
      </c>
      <c r="G40" s="35" t="inlineStr">
        <is>
          <t>No</t>
        </is>
      </c>
      <c r="H40" s="36" t="inlineStr">
        <is>
          <t>Piazzati</t>
        </is>
      </c>
      <c r="I40" s="10" t="n">
        <v>20</v>
      </c>
      <c r="J40" s="36" t="inlineStr">
        <is>
          <t>Se non preso come D1</t>
        </is>
      </c>
    </row>
    <row r="41">
      <c r="A41" s="37" t="n">
        <v>8</v>
      </c>
      <c r="B41" s="38" t="inlineStr">
        <is>
          <t>Stones</t>
        </is>
      </c>
      <c r="C41" s="39" t="inlineStr">
        <is>
          <t>Inter</t>
        </is>
      </c>
      <c r="D41" s="40" t="n">
        <v>12</v>
      </c>
      <c r="E41" s="40" t="n">
        <v>38</v>
      </c>
      <c r="F41" s="39" t="inlineStr">
        <is>
          <t>Alta</t>
        </is>
      </c>
      <c r="G41" s="39" t="inlineStr">
        <is>
          <t>No</t>
        </is>
      </c>
      <c r="H41" s="41" t="inlineStr">
        <is>
          <t>Qualità Premier</t>
        </is>
      </c>
      <c r="I41" s="40" t="n">
        <v>14</v>
      </c>
      <c r="J41" s="41" t="inlineStr">
        <is>
          <t>Titolare nelle probabili (con Akanji e Bastoni) ma 60/40 su Bisseck: non pagarlo da inamovibile.</t>
        </is>
      </c>
    </row>
    <row r="42">
      <c r="A42" s="42" t="n">
        <v>9</v>
      </c>
      <c r="B42" s="43" t="inlineStr">
        <is>
          <t>Gila</t>
        </is>
      </c>
      <c r="C42" s="35" t="inlineStr">
        <is>
          <t>Milan</t>
        </is>
      </c>
      <c r="D42" s="10" t="n">
        <v>12</v>
      </c>
      <c r="E42" s="10" t="n">
        <v>31</v>
      </c>
      <c r="F42" s="35" t="inlineStr">
        <is>
          <t>In dubbio (muscolare)</t>
        </is>
      </c>
      <c r="G42" s="35" t="inlineStr">
        <is>
          <t>No</t>
        </is>
      </c>
      <c r="H42" s="36" t="inlineStr">
        <is>
          <t>Voti costanti</t>
        </is>
      </c>
      <c r="I42" s="10" t="n">
        <v>14</v>
      </c>
      <c r="J42" s="36" t="inlineStr">
        <is>
          <t>Recuperato e convocato (14/8) ma muscolo incerto, Tomori pronto. E 9 gialli nel 24/25: fairplay mediocre.</t>
        </is>
      </c>
    </row>
    <row r="43">
      <c r="A43" s="37" t="n">
        <v>10</v>
      </c>
      <c r="B43" s="38" t="inlineStr">
        <is>
          <t>Ostigard</t>
        </is>
      </c>
      <c r="C43" s="39" t="inlineStr">
        <is>
          <t>Genoa</t>
        </is>
      </c>
      <c r="D43" s="40" t="n">
        <v>11</v>
      </c>
      <c r="E43" s="40" t="n">
        <v>40</v>
      </c>
      <c r="F43" s="39" t="inlineStr">
        <is>
          <t>Altissima</t>
        </is>
      </c>
      <c r="G43" s="39" t="inlineStr">
        <is>
          <t>No</t>
        </is>
      </c>
      <c r="H43" s="41" t="inlineStr">
        <is>
          <t>5 gol nel 25/26</t>
        </is>
      </c>
      <c r="I43" s="40" t="n">
        <v>16</v>
      </c>
      <c r="J43" s="41" t="inlineStr">
        <is>
          <t>5 gol, perno, in lista rigoristi MA 7 ammonizioni nel 25/26: fairplay pessimo, scontare.</t>
        </is>
      </c>
    </row>
    <row r="44">
      <c r="A44" s="42" t="n">
        <v>11</v>
      </c>
      <c r="B44" s="43" t="inlineStr">
        <is>
          <t>Ramon</t>
        </is>
      </c>
      <c r="C44" s="35" t="inlineStr">
        <is>
          <t>Como</t>
        </is>
      </c>
      <c r="D44" s="10" t="n">
        <v>10</v>
      </c>
      <c r="E44" s="10" t="n">
        <v>32</v>
      </c>
      <c r="F44" s="35" t="inlineStr">
        <is>
          <t>Alta</t>
        </is>
      </c>
      <c r="G44" s="35" t="inlineStr">
        <is>
          <t>No</t>
        </is>
      </c>
      <c r="H44" s="36" t="inlineStr">
        <is>
          <t>Como in crescita</t>
        </is>
      </c>
      <c r="I44" s="10" t="n">
        <v>12</v>
      </c>
      <c r="J44" s="36" t="inlineStr">
        <is>
          <t>Titolare nella difesa di Fabregas</t>
        </is>
      </c>
    </row>
    <row r="45"/>
    <row r="46">
      <c r="A46" s="1" t="inlineStr">
        <is>
          <t>SLOT D4 — Centrale affidabile da buon voto · budget consigliato: 12</t>
        </is>
      </c>
    </row>
    <row r="47" ht="28" customHeight="1">
      <c r="A47" s="44" t="inlineStr">
        <is>
          <t>Priorità</t>
        </is>
      </c>
      <c r="B47" s="44" t="inlineStr">
        <is>
          <t>Giocatore</t>
        </is>
      </c>
      <c r="C47" s="44" t="inlineStr">
        <is>
          <t>Squadra</t>
        </is>
      </c>
      <c r="D47" s="44" t="inlineStr">
        <is>
          <t>Qt.A</t>
        </is>
      </c>
      <c r="E47" s="44" t="inlineStr">
        <is>
          <t>FVM</t>
        </is>
      </c>
      <c r="F47" s="44" t="inlineStr">
        <is>
          <t>Titolarità</t>
        </is>
      </c>
      <c r="G47" s="44" t="inlineStr">
        <is>
          <t>Rigorista</t>
        </is>
      </c>
      <c r="H47" s="44" t="inlineStr">
        <is>
          <t>Bonus attesi / punti di forza</t>
        </is>
      </c>
      <c r="I47" s="44" t="inlineStr">
        <is>
          <t>Prezzo max</t>
        </is>
      </c>
      <c r="J47" s="44" t="inlineStr">
        <is>
          <t>Note</t>
        </is>
      </c>
    </row>
    <row r="48">
      <c r="A48" s="16" t="n">
        <v>1</v>
      </c>
      <c r="B48" s="5" t="inlineStr">
        <is>
          <t>Ostigard</t>
        </is>
      </c>
      <c r="C48" s="35" t="inlineStr">
        <is>
          <t>Genoa</t>
        </is>
      </c>
      <c r="D48" s="10" t="n">
        <v>11</v>
      </c>
      <c r="E48" s="10" t="n">
        <v>40</v>
      </c>
      <c r="F48" s="35" t="inlineStr">
        <is>
          <t>Altissima</t>
        </is>
      </c>
      <c r="G48" s="35" t="inlineStr">
        <is>
          <t>No</t>
        </is>
      </c>
      <c r="H48" s="36" t="inlineStr">
        <is>
          <t>Prestanza in entrambe le aree</t>
        </is>
      </c>
      <c r="I48" s="10" t="n">
        <v>16</v>
      </c>
      <c r="J48" s="36" t="inlineStr">
        <is>
          <t>Bonus veri ma 7 gialli nel 25/26: col fairplay il malus pesa doppio.</t>
        </is>
      </c>
    </row>
    <row r="49">
      <c r="A49" s="37" t="n">
        <v>2</v>
      </c>
      <c r="B49" s="38" t="inlineStr">
        <is>
          <t>Scalvini</t>
        </is>
      </c>
      <c r="C49" s="39" t="inlineStr">
        <is>
          <t>Atalanta</t>
        </is>
      </c>
      <c r="D49" s="40" t="n">
        <v>10</v>
      </c>
      <c r="E49" s="40" t="n">
        <v>28</v>
      </c>
      <c r="F49" s="39" t="inlineStr">
        <is>
          <t>Alta</t>
        </is>
      </c>
      <c r="G49" s="39" t="inlineStr">
        <is>
          <t>No</t>
        </is>
      </c>
      <c r="H49" s="41" t="inlineStr">
        <is>
          <t>Rilancio con Sarri</t>
        </is>
      </c>
      <c r="I49" s="40" t="n">
        <v>12</v>
      </c>
      <c r="J49" s="41" t="inlineStr">
        <is>
          <t>Qualità da top se sta bene fisicamente</t>
        </is>
      </c>
    </row>
    <row r="50">
      <c r="A50" s="42" t="n">
        <v>3</v>
      </c>
      <c r="B50" s="43" t="inlineStr">
        <is>
          <t>Hermoso</t>
        </is>
      </c>
      <c r="C50" s="35" t="inlineStr">
        <is>
          <t>Roma</t>
        </is>
      </c>
      <c r="D50" s="10" t="n">
        <v>10</v>
      </c>
      <c r="E50" s="10" t="n">
        <v>26</v>
      </c>
      <c r="F50" s="35" t="inlineStr">
        <is>
          <t>Ballottaggio</t>
        </is>
      </c>
      <c r="G50" s="35" t="inlineStr">
        <is>
          <t>No</t>
        </is>
      </c>
      <c r="H50" s="36" t="inlineStr">
        <is>
          <t>Tornato ai livelli Atletico</t>
        </is>
      </c>
      <c r="I50" s="10" t="n">
        <v>12</v>
      </c>
      <c r="J50" s="36" t="inlineStr">
        <is>
          <t>Ballottaggio 50/50 vero con Koulierakis (fonti spaccate).</t>
        </is>
      </c>
    </row>
    <row r="51">
      <c r="A51" s="37" t="n">
        <v>4</v>
      </c>
      <c r="B51" s="38" t="inlineStr">
        <is>
          <t>Mina</t>
        </is>
      </c>
      <c r="C51" s="39" t="inlineStr">
        <is>
          <t>Cagliari</t>
        </is>
      </c>
      <c r="D51" s="40" t="n">
        <v>8</v>
      </c>
      <c r="E51" s="40" t="n">
        <v>20</v>
      </c>
      <c r="F51" s="39" t="inlineStr">
        <is>
          <t>Altissima</t>
        </is>
      </c>
      <c r="G51" s="39" t="inlineStr">
        <is>
          <t>No</t>
        </is>
      </c>
      <c r="H51" s="41" t="inlineStr">
        <is>
          <t>Gol e carisma</t>
        </is>
      </c>
      <c r="I51" s="40" t="n">
        <v>10</v>
      </c>
      <c r="J51" s="41" t="inlineStr">
        <is>
          <t>Sempre pericoloso in area avversaria</t>
        </is>
      </c>
    </row>
    <row r="52">
      <c r="A52" s="42" t="n">
        <v>5</v>
      </c>
      <c r="B52" s="43" t="inlineStr">
        <is>
          <t>Dragusin</t>
        </is>
      </c>
      <c r="C52" s="35" t="inlineStr">
        <is>
          <t>Fiorentina</t>
        </is>
      </c>
      <c r="D52" s="10" t="n">
        <v>8</v>
      </c>
      <c r="E52" s="10" t="n">
        <v>27</v>
      </c>
      <c r="F52" s="35" t="inlineStr">
        <is>
          <t>Alta</t>
        </is>
      </c>
      <c r="G52" s="35" t="inlineStr">
        <is>
          <t>No</t>
        </is>
      </c>
      <c r="H52" s="36" t="inlineStr">
        <is>
          <t>Rilancio in viola</t>
        </is>
      </c>
      <c r="I52" s="10" t="n">
        <v>10</v>
      </c>
      <c r="J52" s="36" t="inlineStr">
        <is>
          <t>Nuovo perno Fiorentina</t>
        </is>
      </c>
    </row>
    <row r="53">
      <c r="A53" s="37" t="n">
        <v>6</v>
      </c>
      <c r="B53" s="38" t="inlineStr">
        <is>
          <t>Doekhi</t>
        </is>
      </c>
      <c r="C53" s="39" t="inlineStr">
        <is>
          <t>Lazio</t>
        </is>
      </c>
      <c r="D53" s="40" t="n">
        <v>7</v>
      </c>
      <c r="E53" s="40" t="n">
        <v>22</v>
      </c>
      <c r="F53" s="39" t="inlineStr">
        <is>
          <t>Altissima</t>
        </is>
      </c>
      <c r="G53" s="39" t="inlineStr">
        <is>
          <t>No</t>
        </is>
      </c>
      <c r="H53" s="41" t="inlineStr">
        <is>
          <t>7 gol stagionali con l'Union Berlin</t>
        </is>
      </c>
      <c r="I53" s="40" t="n">
        <v>12</v>
      </c>
      <c r="J53" s="41" t="inlineStr">
        <is>
          <t>Titolare certo per Gattuso (il compagno è conteso tra Provstgaard e Romagnoli): uno dei centrali più prolifici d'Europa.</t>
        </is>
      </c>
    </row>
    <row r="54">
      <c r="A54" s="42" t="n">
        <v>7</v>
      </c>
      <c r="B54" s="43" t="inlineStr">
        <is>
          <t>Kempf</t>
        </is>
      </c>
      <c r="C54" s="35" t="inlineStr">
        <is>
          <t>Como</t>
        </is>
      </c>
      <c r="D54" s="10" t="n">
        <v>5</v>
      </c>
      <c r="E54" s="10" t="n">
        <v>13</v>
      </c>
      <c r="F54" s="35" t="inlineStr">
        <is>
          <t>Altissima</t>
        </is>
      </c>
      <c r="G54" s="35" t="inlineStr">
        <is>
          <t>No</t>
        </is>
      </c>
      <c r="H54" s="36" t="inlineStr">
        <is>
          <t>CS del Como</t>
        </is>
      </c>
      <c r="I54" s="10" t="n">
        <v>5</v>
      </c>
      <c r="J54" s="36" t="inlineStr">
        <is>
          <t>Sky low cost: MV ~6,5 con zero hype e solo 3 gialli in 34 gare — titolarità + fairplay a prezzo minimo.</t>
        </is>
      </c>
    </row>
    <row r="55">
      <c r="A55" s="37" t="n">
        <v>8</v>
      </c>
      <c r="B55" s="38" t="inlineStr">
        <is>
          <t>Kristensen T.</t>
        </is>
      </c>
      <c r="C55" s="39" t="inlineStr">
        <is>
          <t>Udinese</t>
        </is>
      </c>
      <c r="D55" s="40" t="n">
        <v>7</v>
      </c>
      <c r="E55" s="40" t="n">
        <v>15</v>
      </c>
      <c r="F55" s="39" t="inlineStr">
        <is>
          <t>Titolare Atalanta</t>
        </is>
      </c>
      <c r="G55" s="39" t="inlineStr">
        <is>
          <t>No</t>
        </is>
      </c>
      <c r="H55" s="41" t="inlineStr">
        <is>
          <t>Erede di Djimsiti nella Dea</t>
        </is>
      </c>
      <c r="I55" s="40" t="n">
        <v>10</v>
      </c>
      <c r="J55" s="41" t="inlineStr">
        <is>
          <t>UFFICIALE all'Atalanta (13/8, 22M+3) e TITOLARE nel terzetto delle probabili: occasione di listone, listato ancora Udinese.</t>
        </is>
      </c>
    </row>
    <row r="56">
      <c r="A56" s="42" t="n">
        <v>9</v>
      </c>
      <c r="B56" s="43" t="inlineStr">
        <is>
          <t>Lucumì</t>
        </is>
      </c>
      <c r="C56" s="35" t="inlineStr">
        <is>
          <t>Bologna</t>
        </is>
      </c>
      <c r="D56" s="10" t="n">
        <v>8</v>
      </c>
      <c r="E56" s="10" t="n">
        <v>18</v>
      </c>
      <c r="F56" s="35" t="inlineStr">
        <is>
          <t>Verso la Juve</t>
        </is>
      </c>
      <c r="G56" s="35" t="inlineStr">
        <is>
          <t>No</t>
        </is>
      </c>
      <c r="H56" s="36" t="inlineStr">
        <is>
          <t>Bologna solido</t>
        </is>
      </c>
      <c r="I56" s="10" t="n">
        <v>10</v>
      </c>
      <c r="J56" s="36" t="inlineStr">
        <is>
          <t>In chiusura con la Juve (~20M, visite 15-16/8): se ufficiale è in ballottaggio con Kelly da titolare bianconero. Comprare solo la notizia confermata.</t>
        </is>
      </c>
    </row>
    <row r="57">
      <c r="A57" s="37" t="n">
        <v>10</v>
      </c>
      <c r="B57" s="38" t="inlineStr">
        <is>
          <t>Bisseck</t>
        </is>
      </c>
      <c r="C57" s="39" t="inlineStr">
        <is>
          <t>Inter</t>
        </is>
      </c>
      <c r="D57" s="40" t="n">
        <v>11</v>
      </c>
      <c r="E57" s="40" t="n">
        <v>33</v>
      </c>
      <c r="F57" s="39" t="inlineStr">
        <is>
          <t>Ballottaggio</t>
        </is>
      </c>
      <c r="G57" s="39" t="inlineStr">
        <is>
          <t>No</t>
        </is>
      </c>
      <c r="H57" s="41" t="inlineStr">
        <is>
          <t>Fisicità e gol</t>
        </is>
      </c>
      <c r="I57" s="40" t="n">
        <v>10</v>
      </c>
      <c r="J57" s="41" t="inlineStr">
        <is>
          <t>Stones favorito 60/40 nelle probabili: ballottaggio confermato, paga una fascia sotto.</t>
        </is>
      </c>
    </row>
    <row r="58">
      <c r="A58" s="42" t="n">
        <v>11</v>
      </c>
      <c r="B58" s="43" t="inlineStr">
        <is>
          <t>Chalobah T.</t>
        </is>
      </c>
      <c r="C58" s="35" t="inlineStr">
        <is>
          <t>Como</t>
        </is>
      </c>
      <c r="D58" s="10" t="n">
        <v>9</v>
      </c>
      <c r="E58" s="10" t="n">
        <v>26</v>
      </c>
      <c r="F58" s="35" t="inlineStr">
        <is>
          <t>Alta</t>
        </is>
      </c>
      <c r="G58" s="35" t="inlineStr">
        <is>
          <t>No</t>
        </is>
      </c>
      <c r="H58" s="36" t="inlineStr">
        <is>
          <t>Fisicità Premier</t>
        </is>
      </c>
      <c r="I58" s="10" t="n">
        <v>10</v>
      </c>
      <c r="J58" s="36" t="inlineStr">
        <is>
          <t>Nuovo acquisto Como, titolare designato</t>
        </is>
      </c>
    </row>
    <row r="59">
      <c r="A59" t="n">
        <v>12</v>
      </c>
      <c r="B59" t="inlineStr">
        <is>
          <t>Vasquez</t>
        </is>
      </c>
      <c r="C59" t="inlineStr">
        <is>
          <t>Genoa</t>
        </is>
      </c>
      <c r="D59" t="n">
        <v>9</v>
      </c>
      <c r="E59" t="n">
        <v>33</v>
      </c>
      <c r="F59" t="inlineStr">
        <is>
          <t>Altissima</t>
        </is>
      </c>
      <c r="G59" t="inlineStr">
        <is>
          <t>No</t>
        </is>
      </c>
      <c r="H59" t="inlineStr">
        <is>
          <t>Doppio ruolo</t>
        </is>
      </c>
      <c r="I59" t="n">
        <v>10</v>
      </c>
      <c r="J59" t="inlineStr">
        <is>
          <t>Sempre in campo nel Genoa</t>
        </is>
      </c>
    </row>
    <row r="60">
      <c r="A60" s="1" t="n">
        <v>13</v>
      </c>
      <c r="B60" t="inlineStr">
        <is>
          <t>Koulierakis</t>
        </is>
      </c>
      <c r="C60" t="inlineStr">
        <is>
          <t>Roma</t>
        </is>
      </c>
      <c r="D60" t="n">
        <v>8</v>
      </c>
      <c r="E60" t="n">
        <v>20</v>
      </c>
      <c r="F60" t="inlineStr">
        <is>
          <t>Alta</t>
        </is>
      </c>
      <c r="G60" t="inlineStr">
        <is>
          <t>No</t>
        </is>
      </c>
      <c r="H60" t="inlineStr">
        <is>
          <t>Nuovo perno Roma</t>
        </is>
      </c>
      <c r="I60" t="n">
        <v>10</v>
      </c>
      <c r="J60" t="inlineStr">
        <is>
          <t>Ballottaggio 50/50 VERO con Hermoso (fonti spaccate): paga lo sconto del dualismo.</t>
        </is>
      </c>
    </row>
    <row r="61" ht="28" customHeight="1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</row>
    <row r="62">
      <c r="A62" s="55" t="inlineStr">
        <is>
          <t>SLOT D5 — Esterno titolare media fascia · budget consigliato: 10</t>
        </is>
      </c>
      <c r="B62" s="56" t="n"/>
      <c r="C62" s="56" t="n"/>
      <c r="D62" s="56" t="n"/>
      <c r="E62" s="56" t="n"/>
      <c r="F62" s="56" t="n"/>
      <c r="G62" s="56" t="n"/>
      <c r="H62" s="56" t="n"/>
      <c r="I62" s="56" t="n"/>
      <c r="J62" s="57" t="n"/>
    </row>
    <row r="63">
      <c r="A63" s="12" t="inlineStr">
        <is>
          <t>Priorità</t>
        </is>
      </c>
      <c r="B63" s="58" t="inlineStr">
        <is>
          <t>Giocatore</t>
        </is>
      </c>
      <c r="C63" s="12" t="inlineStr">
        <is>
          <t>Squadra</t>
        </is>
      </c>
      <c r="D63" s="59" t="inlineStr">
        <is>
          <t>Qt.A</t>
        </is>
      </c>
      <c r="E63" s="59" t="inlineStr">
        <is>
          <t>FVM</t>
        </is>
      </c>
      <c r="F63" s="12" t="inlineStr">
        <is>
          <t>Titolarità</t>
        </is>
      </c>
      <c r="G63" s="12" t="inlineStr">
        <is>
          <t>Rigorista</t>
        </is>
      </c>
      <c r="H63" s="60" t="inlineStr">
        <is>
          <t>Bonus attesi / punti di forza</t>
        </is>
      </c>
      <c r="I63" s="59" t="inlineStr">
        <is>
          <t>Prezzo max</t>
        </is>
      </c>
      <c r="J63" s="60" t="inlineStr">
        <is>
          <t>Note</t>
        </is>
      </c>
    </row>
    <row r="64">
      <c r="A64" s="42" t="n">
        <v>1</v>
      </c>
      <c r="B64" s="43" t="inlineStr">
        <is>
          <t>Miranda J.</t>
        </is>
      </c>
      <c r="C64" s="35" t="inlineStr">
        <is>
          <t>Bologna</t>
        </is>
      </c>
      <c r="D64" s="10" t="n">
        <v>8</v>
      </c>
      <c r="E64" s="10" t="n">
        <v>24</v>
      </c>
      <c r="F64" s="35" t="inlineStr">
        <is>
          <t>Alta</t>
        </is>
      </c>
      <c r="G64" s="35" t="inlineStr">
        <is>
          <t>No</t>
        </is>
      </c>
      <c r="H64" s="36" t="inlineStr">
        <is>
          <t>Cross e piazzati</t>
        </is>
      </c>
      <c r="I64" s="10" t="n">
        <v>10</v>
      </c>
      <c r="J64" s="36" t="inlineStr">
        <is>
          <t>Se non preso come D2</t>
        </is>
      </c>
    </row>
    <row r="65">
      <c r="A65" s="37" t="n">
        <v>2</v>
      </c>
      <c r="B65" s="38" t="inlineStr">
        <is>
          <t>Valeri</t>
        </is>
      </c>
      <c r="C65" s="39" t="inlineStr">
        <is>
          <t>Parma</t>
        </is>
      </c>
      <c r="D65" s="40" t="n">
        <v>8</v>
      </c>
      <c r="E65" s="40" t="n">
        <v>24</v>
      </c>
      <c r="F65" s="39" t="inlineStr">
        <is>
          <t>Alta</t>
        </is>
      </c>
      <c r="G65" s="39" t="inlineStr">
        <is>
          <t>Alternativa</t>
        </is>
      </c>
      <c r="H65" s="41" t="inlineStr">
        <is>
          <t>Piazzati Parma</t>
        </is>
      </c>
      <c r="I65" s="40" t="n">
        <v>10</v>
      </c>
      <c r="J65" s="41" t="inlineStr">
        <is>
          <t>Se non preso come D2</t>
        </is>
      </c>
    </row>
    <row r="66">
      <c r="A66" s="42" t="n">
        <v>3</v>
      </c>
      <c r="B66" s="43" t="inlineStr">
        <is>
          <t>Bartesaghi</t>
        </is>
      </c>
      <c r="C66" s="35" t="inlineStr">
        <is>
          <t>Milan</t>
        </is>
      </c>
      <c r="D66" s="10" t="n">
        <v>8</v>
      </c>
      <c r="E66" s="10" t="n">
        <v>25</v>
      </c>
      <c r="F66" s="35" t="inlineStr">
        <is>
          <t>Alta</t>
        </is>
      </c>
      <c r="G66" s="35" t="inlineStr">
        <is>
          <t>No</t>
        </is>
      </c>
      <c r="H66" s="36" t="inlineStr">
        <is>
          <t>Fascia Milan</t>
        </is>
      </c>
      <c r="I66" s="10" t="n">
        <v>9</v>
      </c>
      <c r="J66" s="36" t="inlineStr">
        <is>
          <t>Se non preso come D2</t>
        </is>
      </c>
    </row>
    <row r="67">
      <c r="A67" s="37" t="n">
        <v>4</v>
      </c>
      <c r="B67" s="38" t="inlineStr">
        <is>
          <t>Delprato</t>
        </is>
      </c>
      <c r="C67" s="39" t="inlineStr">
        <is>
          <t>Parma</t>
        </is>
      </c>
      <c r="D67" s="40" t="n">
        <v>8</v>
      </c>
      <c r="E67" s="40" t="n">
        <v>21</v>
      </c>
      <c r="F67" s="39" t="inlineStr">
        <is>
          <t>Altissima</t>
        </is>
      </c>
      <c r="G67" s="39" t="inlineStr">
        <is>
          <t>No</t>
        </is>
      </c>
      <c r="H67" s="41" t="inlineStr">
        <is>
          <t>Capitano tuttofare</t>
        </is>
      </c>
      <c r="I67" s="40" t="n">
        <v>9</v>
      </c>
      <c r="J67" s="41" t="inlineStr">
        <is>
          <t>Gioca ovunque nel Parma, sempre titolare (B;Dd;E)</t>
        </is>
      </c>
    </row>
    <row r="68">
      <c r="A68" s="42" t="n">
        <v>5</v>
      </c>
      <c r="B68" s="43" t="inlineStr">
        <is>
          <t>Vojvoda</t>
        </is>
      </c>
      <c r="C68" s="35" t="inlineStr">
        <is>
          <t>Udinese</t>
        </is>
      </c>
      <c r="D68" s="10" t="n">
        <v>8</v>
      </c>
      <c r="E68" s="10" t="n">
        <v>19</v>
      </c>
      <c r="F68" s="35" t="inlineStr">
        <is>
          <t>Titolare (~70%)</t>
        </is>
      </c>
      <c r="G68" s="35" t="inlineStr">
        <is>
          <t>No</t>
        </is>
      </c>
      <c r="H68" s="36" t="inlineStr">
        <is>
          <t>Bonus a sorpresa</t>
        </is>
      </c>
      <c r="I68" s="10" t="n">
        <v>6</v>
      </c>
      <c r="J68" s="36" t="inlineStr">
        <is>
          <t>Triplo hit (FantaMaster, Sky, SOS): quinto destro con Zanoli ko fino a ottobre, assist e piazzati in rotazione.</t>
        </is>
      </c>
    </row>
    <row r="69">
      <c r="A69" s="37" t="n">
        <v>6</v>
      </c>
      <c r="B69" s="38" t="inlineStr">
        <is>
          <t>Norton-Cuffy</t>
        </is>
      </c>
      <c r="C69" s="39" t="inlineStr">
        <is>
          <t>Genoa</t>
        </is>
      </c>
      <c r="D69" s="40" t="n">
        <v>8</v>
      </c>
      <c r="E69" s="40" t="n">
        <v>22</v>
      </c>
      <c r="F69" s="39" t="inlineStr">
        <is>
          <t>Alta</t>
        </is>
      </c>
      <c r="G69" s="39" t="inlineStr">
        <is>
          <t>No</t>
        </is>
      </c>
      <c r="H69" s="41" t="inlineStr">
        <is>
          <t>Spinta atletica</t>
        </is>
      </c>
      <c r="I69" s="40" t="n">
        <v>9</v>
      </c>
      <c r="J69" s="41" t="inlineStr">
        <is>
          <t>Corsia del Genoa a tutta fascia</t>
        </is>
      </c>
    </row>
    <row r="70">
      <c r="A70" s="42" t="n">
        <v>7</v>
      </c>
      <c r="B70" s="43" t="inlineStr">
        <is>
          <t>Zortea</t>
        </is>
      </c>
      <c r="C70" s="35" t="inlineStr">
        <is>
          <t>Bologna</t>
        </is>
      </c>
      <c r="D70" s="10" t="n">
        <v>6</v>
      </c>
      <c r="E70" s="10" t="n">
        <v>19</v>
      </c>
      <c r="F70" s="35" t="inlineStr">
        <is>
          <t>Alta</t>
        </is>
      </c>
      <c r="G70" s="35" t="inlineStr">
        <is>
          <t>No</t>
        </is>
      </c>
      <c r="H70" s="36" t="inlineStr">
        <is>
          <t>Gol dal fondo</t>
        </is>
      </c>
      <c r="I70" s="10" t="n">
        <v>8</v>
      </c>
      <c r="J70" s="36" t="inlineStr">
        <is>
          <t>Titolare all'avvio (70/30 su Holm ko al soleo), 2 gialli in 32: posto + fairplay.</t>
        </is>
      </c>
    </row>
    <row r="71">
      <c r="A71" s="37" t="n">
        <v>8</v>
      </c>
      <c r="B71" s="38" t="inlineStr">
        <is>
          <t>Bernasconi</t>
        </is>
      </c>
      <c r="C71" s="39" t="inlineStr">
        <is>
          <t>Atalanta</t>
        </is>
      </c>
      <c r="D71" s="40" t="n">
        <v>6</v>
      </c>
      <c r="E71" s="40" t="n">
        <v>17</v>
      </c>
      <c r="F71" s="39" t="inlineStr">
        <is>
          <t>Alta</t>
        </is>
      </c>
      <c r="G71" s="39" t="inlineStr">
        <is>
          <t>No</t>
        </is>
      </c>
      <c r="H71" s="41" t="inlineStr">
        <is>
          <t>Rivelazione Atalanta</t>
        </is>
      </c>
      <c r="I71" s="40" t="n">
        <v>8</v>
      </c>
      <c r="J71" s="41" t="inlineStr">
        <is>
          <t>Quinto di Sarri in rampa di lancio</t>
        </is>
      </c>
    </row>
    <row r="72">
      <c r="A72" s="42" t="n">
        <v>9</v>
      </c>
      <c r="B72" s="43" t="inlineStr">
        <is>
          <t>Valle</t>
        </is>
      </c>
      <c r="C72" s="35" t="inlineStr">
        <is>
          <t>Como</t>
        </is>
      </c>
      <c r="D72" s="10" t="n">
        <v>6</v>
      </c>
      <c r="E72" s="10" t="n">
        <v>18</v>
      </c>
      <c r="F72" s="35" t="inlineStr">
        <is>
          <t>Alta</t>
        </is>
      </c>
      <c r="G72" s="35" t="inlineStr">
        <is>
          <t>No</t>
        </is>
      </c>
      <c r="H72" s="36" t="inlineStr">
        <is>
          <t>Como offensivo</t>
        </is>
      </c>
      <c r="I72" s="10" t="n">
        <v>7</v>
      </c>
      <c r="J72" s="36" t="inlineStr">
        <is>
          <t>Titolare a sinistra nel Como</t>
        </is>
      </c>
    </row>
    <row r="73">
      <c r="A73" t="n">
        <v>10</v>
      </c>
      <c r="B73" t="inlineStr">
        <is>
          <t>Tavares N.</t>
        </is>
      </c>
      <c r="C73" t="inlineStr">
        <is>
          <t>Lazio</t>
        </is>
      </c>
      <c r="D73" t="n">
        <v>6</v>
      </c>
      <c r="E73" t="n">
        <v>17</v>
      </c>
      <c r="F73" t="inlineStr">
        <is>
          <t>Favorito (65%)</t>
        </is>
      </c>
      <c r="G73" t="inlineStr">
        <is>
          <t>No</t>
        </is>
      </c>
      <c r="H73" t="inlineStr">
        <is>
          <t>Assist devastanti quando gioca</t>
        </is>
      </c>
      <c r="I73" t="n">
        <v>7</v>
      </c>
      <c r="J73" t="inlineStr">
        <is>
          <t>Cauto ottimismo per l'esordio (65/35 su Pedraza) ma è fermo da 3 settimane: condizione da verificare.</t>
        </is>
      </c>
    </row>
    <row r="74">
      <c r="A74" s="1" t="n">
        <v>11</v>
      </c>
      <c r="B74" t="inlineStr">
        <is>
          <t>Celik</t>
        </is>
      </c>
      <c r="C74" t="inlineStr">
        <is>
          <t>Juventus</t>
        </is>
      </c>
      <c r="D74" t="n">
        <v>8</v>
      </c>
      <c r="E74" t="n">
        <v>21</v>
      </c>
      <c r="F74" t="inlineStr">
        <is>
          <t>Alta</t>
        </is>
      </c>
      <c r="G74" t="inlineStr">
        <is>
          <t>No</t>
        </is>
      </c>
      <c r="H74" t="inlineStr">
        <is>
          <t>Braccetto affidabile</t>
        </is>
      </c>
      <c r="I74" t="n">
        <v>7</v>
      </c>
      <c r="J74" t="inlineStr">
        <is>
          <t>Titolare nella Roma di Gasperini</t>
        </is>
      </c>
    </row>
    <row r="75" ht="28" customHeight="1">
      <c r="A75" s="44" t="n"/>
      <c r="B75" s="44" t="n"/>
      <c r="C75" s="44" t="n"/>
      <c r="D75" s="44" t="n"/>
      <c r="E75" s="44" t="n"/>
      <c r="F75" s="44" t="n"/>
      <c r="G75" s="44" t="n"/>
      <c r="H75" s="44" t="n"/>
      <c r="I75" s="44" t="n"/>
      <c r="J75" s="44" t="n"/>
    </row>
    <row r="76">
      <c r="A76" s="55" t="inlineStr">
        <is>
          <t>SLOT D6 — Titolare di provincia · budget consigliato: 6</t>
        </is>
      </c>
      <c r="B76" s="56" t="n"/>
      <c r="C76" s="56" t="n"/>
      <c r="D76" s="56" t="n"/>
      <c r="E76" s="56" t="n"/>
      <c r="F76" s="56" t="n"/>
      <c r="G76" s="56" t="n"/>
      <c r="H76" s="56" t="n"/>
      <c r="I76" s="56" t="n"/>
      <c r="J76" s="57" t="n"/>
    </row>
    <row r="77">
      <c r="A77" s="12" t="inlineStr">
        <is>
          <t>Priorità</t>
        </is>
      </c>
      <c r="B77" s="58" t="inlineStr">
        <is>
          <t>Giocatore</t>
        </is>
      </c>
      <c r="C77" s="12" t="inlineStr">
        <is>
          <t>Squadra</t>
        </is>
      </c>
      <c r="D77" s="59" t="inlineStr">
        <is>
          <t>Qt.A</t>
        </is>
      </c>
      <c r="E77" s="59" t="inlineStr">
        <is>
          <t>FVM</t>
        </is>
      </c>
      <c r="F77" s="12" t="inlineStr">
        <is>
          <t>Titolarità</t>
        </is>
      </c>
      <c r="G77" s="12" t="inlineStr">
        <is>
          <t>Rigorista</t>
        </is>
      </c>
      <c r="H77" s="60" t="inlineStr">
        <is>
          <t>Bonus attesi / punti di forza</t>
        </is>
      </c>
      <c r="I77" s="59" t="inlineStr">
        <is>
          <t>Prezzo max</t>
        </is>
      </c>
      <c r="J77" s="60" t="inlineStr">
        <is>
          <t>Note</t>
        </is>
      </c>
    </row>
    <row r="78">
      <c r="A78" s="42" t="n">
        <v>1</v>
      </c>
      <c r="B78" s="43" t="inlineStr">
        <is>
          <t>Delprato</t>
        </is>
      </c>
      <c r="C78" s="35" t="inlineStr">
        <is>
          <t>Parma</t>
        </is>
      </c>
      <c r="D78" s="10" t="n">
        <v>8</v>
      </c>
      <c r="E78" s="10" t="n">
        <v>21</v>
      </c>
      <c r="F78" s="35" t="inlineStr">
        <is>
          <t>Altissima</t>
        </is>
      </c>
      <c r="G78" s="35" t="inlineStr">
        <is>
          <t>No</t>
        </is>
      </c>
      <c r="H78" s="36" t="inlineStr">
        <is>
          <t>Titolarità blindata</t>
        </is>
      </c>
      <c r="I78" s="10" t="n">
        <v>9</v>
      </c>
      <c r="J78" s="36" t="inlineStr">
        <is>
          <t>Se non preso come D5</t>
        </is>
      </c>
    </row>
    <row r="79">
      <c r="A79" s="37" t="n">
        <v>2</v>
      </c>
      <c r="B79" s="38" t="inlineStr">
        <is>
          <t>Zortea</t>
        </is>
      </c>
      <c r="C79" s="39" t="inlineStr">
        <is>
          <t>Bologna</t>
        </is>
      </c>
      <c r="D79" s="40" t="n">
        <v>6</v>
      </c>
      <c r="E79" s="40" t="n">
        <v>19</v>
      </c>
      <c r="F79" s="39" t="inlineStr">
        <is>
          <t>Alta</t>
        </is>
      </c>
      <c r="G79" s="39" t="inlineStr">
        <is>
          <t>No</t>
        </is>
      </c>
      <c r="H79" s="41" t="inlineStr">
        <is>
          <t>Gol dalla fascia</t>
        </is>
      </c>
      <c r="I79" s="40" t="n">
        <v>8</v>
      </c>
      <c r="J79" s="41" t="inlineStr">
        <is>
          <t>Se non preso come D5</t>
        </is>
      </c>
    </row>
    <row r="80">
      <c r="A80" s="42" t="n">
        <v>3</v>
      </c>
      <c r="B80" s="43" t="inlineStr">
        <is>
          <t>Bernasconi</t>
        </is>
      </c>
      <c r="C80" s="35" t="inlineStr">
        <is>
          <t>Atalanta</t>
        </is>
      </c>
      <c r="D80" s="10" t="n">
        <v>6</v>
      </c>
      <c r="E80" s="10" t="n">
        <v>17</v>
      </c>
      <c r="F80" s="35" t="inlineStr">
        <is>
          <t>Alta</t>
        </is>
      </c>
      <c r="G80" s="35" t="inlineStr">
        <is>
          <t>No</t>
        </is>
      </c>
      <c r="H80" s="36" t="inlineStr">
        <is>
          <t>Quinto di Sarri</t>
        </is>
      </c>
      <c r="I80" s="10" t="n">
        <v>8</v>
      </c>
      <c r="J80" s="36" t="inlineStr">
        <is>
          <t>Se non preso come D5</t>
        </is>
      </c>
    </row>
    <row r="81">
      <c r="A81" s="37" t="n">
        <v>4</v>
      </c>
      <c r="B81" s="38" t="inlineStr">
        <is>
          <t>Vojvoda</t>
        </is>
      </c>
      <c r="C81" s="39" t="inlineStr">
        <is>
          <t>Udinese</t>
        </is>
      </c>
      <c r="D81" s="40" t="n">
        <v>8</v>
      </c>
      <c r="E81" s="40" t="n">
        <v>19</v>
      </c>
      <c r="F81" s="39" t="inlineStr">
        <is>
          <t>Titolare (~70%)</t>
        </is>
      </c>
      <c r="G81" s="39" t="inlineStr">
        <is>
          <t>No</t>
        </is>
      </c>
      <c r="H81" s="41" t="inlineStr">
        <is>
          <t>Udinese</t>
        </is>
      </c>
      <c r="I81" s="40" t="n">
        <v>6</v>
      </c>
      <c r="J81" s="41" t="inlineStr">
        <is>
          <t>Uno dei migliori low cost D: piazzati, assist, zero rivalità d'asta fino a ieri.</t>
        </is>
      </c>
    </row>
    <row r="82">
      <c r="A82" s="42" t="n">
        <v>5</v>
      </c>
      <c r="B82" s="43" t="inlineStr">
        <is>
          <t>Bella-Kotchap</t>
        </is>
      </c>
      <c r="C82" s="35" t="inlineStr">
        <is>
          <t>Venezia</t>
        </is>
      </c>
      <c r="D82" s="10" t="n">
        <v>6</v>
      </c>
      <c r="E82" s="10" t="n">
        <v>13</v>
      </c>
      <c r="F82" s="35" t="inlineStr">
        <is>
          <t>Titolare (terzetto)</t>
        </is>
      </c>
      <c r="G82" s="35" t="inlineStr">
        <is>
          <t>No</t>
        </is>
      </c>
      <c r="H82" s="36" t="inlineStr">
        <is>
          <t>'Super sorpresa a prezzo stracciato' (Sky)</t>
        </is>
      </c>
      <c r="I82" s="10" t="n">
        <v>6</v>
      </c>
      <c r="J82" s="36" t="inlineStr">
        <is>
          <t>Il nome nuovo più forte del reparto: titolare nella difesa a 3 di Stroppa, classe 2001 ex Southampton.</t>
        </is>
      </c>
    </row>
    <row r="83">
      <c r="A83" s="37" t="n">
        <v>6</v>
      </c>
      <c r="B83" s="38" t="inlineStr">
        <is>
          <t>Valle</t>
        </is>
      </c>
      <c r="C83" s="39" t="inlineStr">
        <is>
          <t>Como</t>
        </is>
      </c>
      <c r="D83" s="40" t="n">
        <v>6</v>
      </c>
      <c r="E83" s="40" t="n">
        <v>18</v>
      </c>
      <c r="F83" s="39" t="inlineStr">
        <is>
          <t>Alta</t>
        </is>
      </c>
      <c r="G83" s="39" t="inlineStr">
        <is>
          <t>No</t>
        </is>
      </c>
      <c r="H83" s="41" t="inlineStr">
        <is>
          <t>Esterno Como</t>
        </is>
      </c>
      <c r="I83" s="40" t="n">
        <v>7</v>
      </c>
      <c r="J83" s="41" t="inlineStr">
        <is>
          <t>Se non preso come D5</t>
        </is>
      </c>
    </row>
    <row r="84">
      <c r="A84" s="42" t="n">
        <v>7</v>
      </c>
      <c r="B84" s="43" t="inlineStr">
        <is>
          <t>Mangas</t>
        </is>
      </c>
      <c r="C84" s="35" t="inlineStr">
        <is>
          <t>Monza</t>
        </is>
      </c>
      <c r="D84" s="10" t="n">
        <v>6</v>
      </c>
      <c r="E84" s="10" t="n">
        <v>15</v>
      </c>
      <c r="F84" s="35" t="inlineStr">
        <is>
          <t>Alta</t>
        </is>
      </c>
      <c r="G84" s="35" t="inlineStr">
        <is>
          <t>No</t>
        </is>
      </c>
      <c r="H84" s="36" t="inlineStr">
        <is>
          <t>Arrivato per fare il titolare</t>
        </is>
      </c>
      <c r="I84" s="10" t="n">
        <v>10</v>
      </c>
      <c r="J84" s="36" t="inlineStr">
        <is>
          <t>Titolarità confermata ma BRUCIATO (n.1 low cost FantaMaster, in tutte le liste): alzare il budget.</t>
        </is>
      </c>
    </row>
    <row r="85">
      <c r="A85" s="37" t="n">
        <v>8</v>
      </c>
      <c r="B85" s="38" t="inlineStr">
        <is>
          <t>Jimenez A.</t>
        </is>
      </c>
      <c r="C85" s="39" t="inlineStr">
        <is>
          <t>Fiorentina</t>
        </is>
      </c>
      <c r="D85" s="40" t="n">
        <v>8</v>
      </c>
      <c r="E85" s="40" t="n">
        <v>23</v>
      </c>
      <c r="F85" s="39" t="inlineStr">
        <is>
          <t>Alta</t>
        </is>
      </c>
      <c r="G85" s="39" t="inlineStr">
        <is>
          <t>No</t>
        </is>
      </c>
      <c r="H85" s="41" t="inlineStr">
        <is>
          <t>Doppia fascia</t>
        </is>
      </c>
      <c r="I85" s="40" t="n">
        <v>8</v>
      </c>
      <c r="J85" s="41" t="inlineStr">
        <is>
          <t>Listato D pur giocando esterno (cambio ruolo favorevole) e in corsa sulla fascia con Dodò: sorpresa FantaMaster/Sisal.</t>
        </is>
      </c>
    </row>
    <row r="86">
      <c r="A86" s="42" t="n">
        <v>9</v>
      </c>
      <c r="B86" s="43" t="inlineStr">
        <is>
          <t>Kempf</t>
        </is>
      </c>
      <c r="C86" s="35" t="inlineStr">
        <is>
          <t>Como</t>
        </is>
      </c>
      <c r="D86" s="10" t="n">
        <v>5</v>
      </c>
      <c r="E86" s="10" t="n">
        <v>13</v>
      </c>
      <c r="F86" s="35" t="inlineStr">
        <is>
          <t>Altissima</t>
        </is>
      </c>
      <c r="G86" s="35" t="inlineStr">
        <is>
          <t>No</t>
        </is>
      </c>
      <c r="H86" s="36" t="inlineStr">
        <is>
          <t>CS Como</t>
        </is>
      </c>
      <c r="I86" s="10" t="n">
        <v>7</v>
      </c>
      <c r="J86" s="36" t="inlineStr">
        <is>
          <t>Se non preso come D4</t>
        </is>
      </c>
    </row>
    <row r="87">
      <c r="A87" t="n">
        <v>10</v>
      </c>
      <c r="B87" t="inlineStr">
        <is>
          <t>Mina</t>
        </is>
      </c>
      <c r="C87" t="inlineStr">
        <is>
          <t>Cagliari</t>
        </is>
      </c>
      <c r="D87" t="n">
        <v>8</v>
      </c>
      <c r="E87" t="n">
        <v>20</v>
      </c>
      <c r="F87" t="inlineStr">
        <is>
          <t>Altissima</t>
        </is>
      </c>
      <c r="G87" t="inlineStr">
        <is>
          <t>No</t>
        </is>
      </c>
      <c r="H87" t="inlineStr">
        <is>
          <t>Gol pesanti</t>
        </is>
      </c>
      <c r="I87" t="n">
        <v>10</v>
      </c>
      <c r="J87" t="inlineStr">
        <is>
          <t>Se non preso come D4</t>
        </is>
      </c>
    </row>
    <row r="88">
      <c r="A88" s="1" t="n">
        <v>11</v>
      </c>
      <c r="B88" t="inlineStr">
        <is>
          <t>Bracaglia</t>
        </is>
      </c>
      <c r="C88" t="inlineStr">
        <is>
          <t>Frosinone</t>
        </is>
      </c>
      <c r="D88" t="n">
        <v>5</v>
      </c>
      <c r="E88" t="n">
        <v>11</v>
      </c>
      <c r="F88" t="inlineStr">
        <is>
          <t>Alta</t>
        </is>
      </c>
      <c r="G88" t="inlineStr">
        <is>
          <t>No</t>
        </is>
      </c>
      <c r="H88" t="inlineStr">
        <is>
          <t>Scommessa Frosinone</t>
        </is>
      </c>
      <c r="I88" t="n">
        <v>5</v>
      </c>
      <c r="J88" t="inlineStr">
        <is>
          <t>Una delle scommesse più interessanti tra le neopromosse</t>
        </is>
      </c>
    </row>
    <row r="89" ht="28" customHeight="1">
      <c r="A89" s="44" t="n">
        <v>12</v>
      </c>
      <c r="B89" s="44" t="inlineStr">
        <is>
          <t>Correia T.</t>
        </is>
      </c>
      <c r="C89" s="44" t="inlineStr">
        <is>
          <t>Venezia</t>
        </is>
      </c>
      <c r="D89" s="44" t="n">
        <v>4</v>
      </c>
      <c r="E89" s="44" t="n">
        <v>12</v>
      </c>
      <c r="F89" s="44" t="inlineStr">
        <is>
          <t>Alta</t>
        </is>
      </c>
      <c r="G89" s="44" t="inlineStr">
        <is>
          <t>No</t>
        </is>
      </c>
      <c r="H89" s="44" t="inlineStr">
        <is>
          <t>Titolare Venezia</t>
        </is>
      </c>
      <c r="I89" s="44" t="n">
        <v>4</v>
      </c>
      <c r="J89" s="44" t="inlineStr">
        <is>
          <t>Buona chiamata low cost tra le neopromosse</t>
        </is>
      </c>
    </row>
    <row r="90">
      <c r="A90" s="16" t="n"/>
      <c r="B90" s="5" t="n"/>
      <c r="C90" s="35" t="n"/>
      <c r="D90" s="10" t="n"/>
      <c r="E90" s="10" t="n"/>
      <c r="F90" s="35" t="n"/>
      <c r="G90" s="35" t="n"/>
      <c r="H90" s="36" t="n"/>
      <c r="I90" s="10" t="n"/>
      <c r="J90" s="36" t="n"/>
    </row>
    <row r="91">
      <c r="A91" s="55" t="inlineStr">
        <is>
          <t>SLOT D7 — Low cost titolare · budget consigliato: 4</t>
        </is>
      </c>
      <c r="B91" s="56" t="n"/>
      <c r="C91" s="56" t="n"/>
      <c r="D91" s="56" t="n"/>
      <c r="E91" s="56" t="n"/>
      <c r="F91" s="56" t="n"/>
      <c r="G91" s="56" t="n"/>
      <c r="H91" s="56" t="n"/>
      <c r="I91" s="56" t="n"/>
      <c r="J91" s="57" t="n"/>
    </row>
    <row r="92">
      <c r="A92" s="12" t="inlineStr">
        <is>
          <t>Priorità</t>
        </is>
      </c>
      <c r="B92" s="58" t="inlineStr">
        <is>
          <t>Giocatore</t>
        </is>
      </c>
      <c r="C92" s="12" t="inlineStr">
        <is>
          <t>Squadra</t>
        </is>
      </c>
      <c r="D92" s="59" t="inlineStr">
        <is>
          <t>Qt.A</t>
        </is>
      </c>
      <c r="E92" s="59" t="inlineStr">
        <is>
          <t>FVM</t>
        </is>
      </c>
      <c r="F92" s="12" t="inlineStr">
        <is>
          <t>Titolarità</t>
        </is>
      </c>
      <c r="G92" s="12" t="inlineStr">
        <is>
          <t>Rigorista</t>
        </is>
      </c>
      <c r="H92" s="60" t="inlineStr">
        <is>
          <t>Bonus attesi / punti di forza</t>
        </is>
      </c>
      <c r="I92" s="59" t="inlineStr">
        <is>
          <t>Prezzo max</t>
        </is>
      </c>
      <c r="J92" s="60" t="inlineStr">
        <is>
          <t>Note</t>
        </is>
      </c>
    </row>
    <row r="93">
      <c r="A93" s="37" t="n">
        <v>1</v>
      </c>
      <c r="B93" s="38" t="inlineStr">
        <is>
          <t>Bracaglia</t>
        </is>
      </c>
      <c r="C93" s="39" t="inlineStr">
        <is>
          <t>Frosinone</t>
        </is>
      </c>
      <c r="D93" s="40" t="n">
        <v>5</v>
      </c>
      <c r="E93" s="40" t="n">
        <v>11</v>
      </c>
      <c r="F93" s="39" t="inlineStr">
        <is>
          <t>Alta</t>
        </is>
      </c>
      <c r="G93" s="39" t="inlineStr">
        <is>
          <t>No</t>
        </is>
      </c>
      <c r="H93" s="41" t="inlineStr">
        <is>
          <t>Titolare neopromossa</t>
        </is>
      </c>
      <c r="I93" s="40" t="n">
        <v>5</v>
      </c>
      <c r="J93" s="41" t="inlineStr">
        <is>
          <t>Titolare ma BRUCIATO ('su tutti Bracaglia' — Goal): prezzo in salita. Piazzati di Calò.</t>
        </is>
      </c>
    </row>
    <row r="94">
      <c r="A94" s="42" t="n">
        <v>2</v>
      </c>
      <c r="B94" s="43" t="inlineStr">
        <is>
          <t>Correia T.</t>
        </is>
      </c>
      <c r="C94" s="35" t="inlineStr">
        <is>
          <t>Venezia</t>
        </is>
      </c>
      <c r="D94" s="10" t="n">
        <v>4</v>
      </c>
      <c r="E94" s="10" t="n">
        <v>12</v>
      </c>
      <c r="F94" s="35" t="inlineStr">
        <is>
          <t>Alta</t>
        </is>
      </c>
      <c r="G94" s="35" t="inlineStr">
        <is>
          <t>No</t>
        </is>
      </c>
      <c r="H94" s="36" t="inlineStr">
        <is>
          <t>Titolare Venezia</t>
        </is>
      </c>
      <c r="I94" s="10" t="n">
        <v>4</v>
      </c>
      <c r="J94" s="36" t="inlineStr">
        <is>
          <t>Se non preso come D6</t>
        </is>
      </c>
    </row>
    <row r="95">
      <c r="A95" s="37" t="n">
        <v>3</v>
      </c>
      <c r="B95" s="38" t="inlineStr">
        <is>
          <t>Mangas</t>
        </is>
      </c>
      <c r="C95" s="39" t="inlineStr">
        <is>
          <t>Monza</t>
        </is>
      </c>
      <c r="D95" s="40" t="n">
        <v>6</v>
      </c>
      <c r="E95" s="40" t="n">
        <v>15</v>
      </c>
      <c r="F95" s="39" t="inlineStr">
        <is>
          <t>Alta</t>
        </is>
      </c>
      <c r="G95" s="39" t="inlineStr">
        <is>
          <t>No</t>
        </is>
      </c>
      <c r="H95" s="41" t="inlineStr">
        <is>
          <t>Titolare Monza</t>
        </is>
      </c>
      <c r="I95" s="40" t="n">
        <v>6</v>
      </c>
      <c r="J95" s="41" t="inlineStr">
        <is>
          <t>Se non preso come D6</t>
        </is>
      </c>
    </row>
    <row r="96">
      <c r="A96" s="42" t="n">
        <v>4</v>
      </c>
      <c r="B96" s="43" t="inlineStr">
        <is>
          <t>Obert</t>
        </is>
      </c>
      <c r="C96" s="35" t="inlineStr">
        <is>
          <t>Cagliari</t>
        </is>
      </c>
      <c r="D96" s="10" t="n">
        <v>7</v>
      </c>
      <c r="E96" s="10" t="n">
        <v>14</v>
      </c>
      <c r="F96" s="35" t="inlineStr">
        <is>
          <t>Altissima</t>
        </is>
      </c>
      <c r="G96" s="35" t="inlineStr">
        <is>
          <t>No</t>
        </is>
      </c>
      <c r="H96" s="36" t="inlineStr">
        <is>
          <t>Punizioni e corner con Fazzini</t>
        </is>
      </c>
      <c r="I96" s="10" t="n">
        <v>12</v>
      </c>
      <c r="J96" s="36" t="inlineStr">
        <is>
          <t>Promosso 'top di squadra' (costerà) MA 9 ammonizioni nel 25/26: piazzati veri, fairplay pessimo.</t>
        </is>
      </c>
    </row>
    <row r="97">
      <c r="A97" s="37" t="n">
        <v>5</v>
      </c>
      <c r="B97" s="38" t="inlineStr">
        <is>
          <t>Kempf</t>
        </is>
      </c>
      <c r="C97" s="39" t="inlineStr">
        <is>
          <t>Como</t>
        </is>
      </c>
      <c r="D97" s="40" t="n">
        <v>5</v>
      </c>
      <c r="E97" s="40" t="n">
        <v>13</v>
      </c>
      <c r="F97" s="39" t="inlineStr">
        <is>
          <t>Altissima</t>
        </is>
      </c>
      <c r="G97" s="39" t="inlineStr">
        <is>
          <t>No</t>
        </is>
      </c>
      <c r="H97" s="41" t="inlineStr">
        <is>
          <t>CS Como</t>
        </is>
      </c>
      <c r="I97" s="40" t="n">
        <v>7</v>
      </c>
      <c r="J97" s="41" t="inlineStr">
        <is>
          <t>Se non preso prima</t>
        </is>
      </c>
    </row>
    <row r="98">
      <c r="A98" s="42" t="n">
        <v>6</v>
      </c>
      <c r="B98" s="43" t="inlineStr">
        <is>
          <t>Kaiki</t>
        </is>
      </c>
      <c r="C98" s="35" t="inlineStr">
        <is>
          <t>Como</t>
        </is>
      </c>
      <c r="D98" s="10" t="n">
        <v>7</v>
      </c>
      <c r="E98" s="10" t="n">
        <v>23</v>
      </c>
      <c r="F98" s="35" t="inlineStr">
        <is>
          <t>Alta</t>
        </is>
      </c>
      <c r="G98" s="35" t="inlineStr">
        <is>
          <t>No</t>
        </is>
      </c>
      <c r="H98" s="36" t="inlineStr">
        <is>
          <t>5 assist nel 2025 da terzino</t>
        </is>
      </c>
      <c r="I98" s="10" t="n">
        <v>10</v>
      </c>
      <c r="J98" s="36" t="inlineStr">
        <is>
          <t>Favorito su Valle (65/35) ma BRUCIATO da 4 fonti: aspettati rilanci.</t>
        </is>
      </c>
    </row>
    <row r="99">
      <c r="A99" s="37" t="n">
        <v>7</v>
      </c>
      <c r="B99" s="38" t="inlineStr">
        <is>
          <t>Tavares N.</t>
        </is>
      </c>
      <c r="C99" s="39" t="inlineStr">
        <is>
          <t>Lazio</t>
        </is>
      </c>
      <c r="D99" s="40" t="n">
        <v>6</v>
      </c>
      <c r="E99" s="40" t="n">
        <v>17</v>
      </c>
      <c r="F99" s="39" t="inlineStr">
        <is>
          <t>Ballottaggio</t>
        </is>
      </c>
      <c r="G99" s="39" t="inlineStr">
        <is>
          <t>No</t>
        </is>
      </c>
      <c r="H99" s="41" t="inlineStr">
        <is>
          <t>Potenziale assist</t>
        </is>
      </c>
      <c r="I99" s="40" t="n">
        <v>7</v>
      </c>
      <c r="J99" s="41" t="inlineStr">
        <is>
          <t>Rischio alto, resa potenziale altissima</t>
        </is>
      </c>
    </row>
    <row r="100">
      <c r="A100" s="42" t="n">
        <v>8</v>
      </c>
      <c r="B100" s="43" t="inlineStr">
        <is>
          <t>Biraghi</t>
        </is>
      </c>
      <c r="C100" s="35" t="inlineStr">
        <is>
          <t>Torino</t>
        </is>
      </c>
      <c r="D100" s="10" t="n">
        <v>2</v>
      </c>
      <c r="E100" s="10" t="n">
        <v>5</v>
      </c>
      <c r="F100" s="35" t="inlineStr">
        <is>
          <t>Alta</t>
        </is>
      </c>
      <c r="G100" s="35" t="inlineStr">
        <is>
          <t>No</t>
        </is>
      </c>
      <c r="H100" s="36" t="inlineStr">
        <is>
          <t>Tutti i piazzati del Torino</t>
        </is>
      </c>
      <c r="I100" s="10" t="n">
        <v>4</v>
      </c>
      <c r="J100" s="36" t="inlineStr">
        <is>
          <t>Una stagione intera da titolare può riportarlo ad alti livelli</t>
        </is>
      </c>
    </row>
    <row r="101">
      <c r="A101" t="n">
        <v>9</v>
      </c>
      <c r="B101" t="inlineStr">
        <is>
          <t>Celik</t>
        </is>
      </c>
      <c r="C101" t="inlineStr">
        <is>
          <t>Juventus</t>
        </is>
      </c>
      <c r="D101" t="n">
        <v>8</v>
      </c>
      <c r="E101" t="n">
        <v>21</v>
      </c>
      <c r="F101" t="inlineStr">
        <is>
          <t>Alta</t>
        </is>
      </c>
      <c r="G101" t="inlineStr">
        <is>
          <t>No</t>
        </is>
      </c>
      <c r="H101" t="inlineStr">
        <is>
          <t>Roma</t>
        </is>
      </c>
      <c r="I101" t="n">
        <v>7</v>
      </c>
      <c r="J101" t="inlineStr">
        <is>
          <t>Se non preso come D5</t>
        </is>
      </c>
    </row>
    <row r="102">
      <c r="A102" s="1" t="n">
        <v>10</v>
      </c>
      <c r="B102" t="inlineStr">
        <is>
          <t>Jimenez A.</t>
        </is>
      </c>
      <c r="C102" t="inlineStr">
        <is>
          <t>Fiorentina</t>
        </is>
      </c>
      <c r="D102" t="n">
        <v>8</v>
      </c>
      <c r="E102" t="n">
        <v>23</v>
      </c>
      <c r="F102" t="inlineStr">
        <is>
          <t>Alta</t>
        </is>
      </c>
      <c r="G102" t="inlineStr">
        <is>
          <t>No</t>
        </is>
      </c>
      <c r="H102" t="inlineStr">
        <is>
          <t>Fiorentina</t>
        </is>
      </c>
      <c r="I102" t="n">
        <v>8</v>
      </c>
      <c r="J102" t="inlineStr">
        <is>
          <t>Se non preso come D6</t>
        </is>
      </c>
    </row>
    <row r="103" ht="28" customHeight="1">
      <c r="A103" s="44" t="n">
        <v>11</v>
      </c>
      <c r="B103" s="44" t="inlineStr">
        <is>
          <t>Norton-Cuffy</t>
        </is>
      </c>
      <c r="C103" s="44" t="inlineStr">
        <is>
          <t>Genoa</t>
        </is>
      </c>
      <c r="D103" s="44" t="n">
        <v>8</v>
      </c>
      <c r="E103" s="44" t="n">
        <v>22</v>
      </c>
      <c r="F103" s="44" t="inlineStr">
        <is>
          <t>Alta</t>
        </is>
      </c>
      <c r="G103" s="44" t="inlineStr">
        <is>
          <t>No</t>
        </is>
      </c>
      <c r="H103" s="44" t="inlineStr">
        <is>
          <t>Genoa</t>
        </is>
      </c>
      <c r="I103" s="44" t="n">
        <v>9</v>
      </c>
      <c r="J103" s="44" t="inlineStr">
        <is>
          <t>Se non preso come D5</t>
        </is>
      </c>
    </row>
    <row r="104">
      <c r="A104" s="16" t="n">
        <v>12</v>
      </c>
      <c r="B104" s="5" t="inlineStr">
        <is>
          <t>Monterisi</t>
        </is>
      </c>
      <c r="C104" s="35" t="inlineStr">
        <is>
          <t>Frosinone</t>
        </is>
      </c>
      <c r="D104" s="10" t="n">
        <v>6</v>
      </c>
      <c r="E104" s="10" t="n">
        <v>14</v>
      </c>
      <c r="F104" s="35" t="inlineStr">
        <is>
          <t>Altissima</t>
        </is>
      </c>
      <c r="G104" s="35" t="inlineStr">
        <is>
          <t>No</t>
        </is>
      </c>
      <c r="H104" s="36" t="inlineStr">
        <is>
          <t>5 assist in B, sale sui piazzati</t>
        </is>
      </c>
      <c r="I104" s="10" t="n">
        <v>4</v>
      </c>
      <c r="J104" s="36" t="inlineStr">
        <is>
          <t>Capitano e perno centrale del Frosinone promosso.</t>
        </is>
      </c>
    </row>
    <row r="105">
      <c r="A105" s="37" t="n">
        <v>13</v>
      </c>
      <c r="B105" s="38" t="inlineStr">
        <is>
          <t>Calvani</t>
        </is>
      </c>
      <c r="C105" s="39" t="inlineStr">
        <is>
          <t>Frosinone</t>
        </is>
      </c>
      <c r="D105" s="40" t="n">
        <v>4</v>
      </c>
      <c r="E105" s="40" t="n">
        <v>10</v>
      </c>
      <c r="F105" s="39" t="inlineStr">
        <is>
          <t>Media</t>
        </is>
      </c>
      <c r="G105" s="39" t="inlineStr">
        <is>
          <t>No</t>
        </is>
      </c>
      <c r="H105" s="41" t="inlineStr">
        <is>
          <t>Frosinone</t>
        </is>
      </c>
      <c r="I105" s="40" t="n">
        <v>2</v>
      </c>
      <c r="J105" s="41" t="inlineStr">
        <is>
          <t>Scommessa pura tra le neopromosse</t>
        </is>
      </c>
    </row>
    <row r="106">
      <c r="A106" s="42" t="n">
        <v>14</v>
      </c>
      <c r="B106" s="43" t="inlineStr">
        <is>
          <t>Perez M.</t>
        </is>
      </c>
      <c r="C106" s="35" t="inlineStr">
        <is>
          <t>Lecce</t>
        </is>
      </c>
      <c r="D106" s="10" t="n">
        <v>1</v>
      </c>
      <c r="E106" s="10" t="n">
        <v>1</v>
      </c>
      <c r="F106" s="35" t="inlineStr">
        <is>
          <t>Media</t>
        </is>
      </c>
      <c r="G106" s="35" t="inlineStr">
        <is>
          <t>No</t>
        </is>
      </c>
      <c r="H106" s="36" t="inlineStr">
        <is>
          <t>Lecce</t>
        </is>
      </c>
      <c r="I106" s="10" t="n">
        <v>1</v>
      </c>
      <c r="J106" s="36" t="inlineStr">
        <is>
          <t>Tappabuchi a 1</t>
        </is>
      </c>
    </row>
    <row r="107">
      <c r="A107" s="37" t="n"/>
      <c r="B107" s="38" t="n"/>
      <c r="C107" s="39" t="n"/>
      <c r="D107" s="40" t="n"/>
      <c r="E107" s="40" t="n"/>
      <c r="F107" s="39" t="n"/>
      <c r="G107" s="39" t="n"/>
      <c r="H107" s="41" t="n"/>
      <c r="I107" s="40" t="n"/>
      <c r="J107" s="41" t="n"/>
    </row>
    <row r="108">
      <c r="A108" s="55" t="inlineStr">
        <is>
          <t>SLOT D8 — Scommessa / parcheggio infortunati · budget consigliato: 3</t>
        </is>
      </c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7" t="n"/>
    </row>
    <row r="109">
      <c r="A109" s="12" t="inlineStr">
        <is>
          <t>Priorità</t>
        </is>
      </c>
      <c r="B109" s="58" t="inlineStr">
        <is>
          <t>Giocatore</t>
        </is>
      </c>
      <c r="C109" s="12" t="inlineStr">
        <is>
          <t>Squadra</t>
        </is>
      </c>
      <c r="D109" s="59" t="inlineStr">
        <is>
          <t>Qt.A</t>
        </is>
      </c>
      <c r="E109" s="59" t="inlineStr">
        <is>
          <t>FVM</t>
        </is>
      </c>
      <c r="F109" s="12" t="inlineStr">
        <is>
          <t>Titolarità</t>
        </is>
      </c>
      <c r="G109" s="12" t="inlineStr">
        <is>
          <t>Rigorista</t>
        </is>
      </c>
      <c r="H109" s="60" t="inlineStr">
        <is>
          <t>Bonus attesi / punti di forza</t>
        </is>
      </c>
      <c r="I109" s="59" t="inlineStr">
        <is>
          <t>Prezzo max</t>
        </is>
      </c>
      <c r="J109" s="60" t="inlineStr">
        <is>
          <t>Note</t>
        </is>
      </c>
    </row>
    <row r="110">
      <c r="A110" s="42" t="n">
        <v>1</v>
      </c>
      <c r="B110" s="43" t="inlineStr">
        <is>
          <t>Hien</t>
        </is>
      </c>
      <c r="C110" s="35" t="inlineStr">
        <is>
          <t>Atalanta</t>
        </is>
      </c>
      <c r="D110" s="10" t="n">
        <v>8</v>
      </c>
      <c r="E110" s="10" t="n">
        <v>16</v>
      </c>
      <c r="F110" s="35" t="inlineStr">
        <is>
          <t>Rientro ottobre</t>
        </is>
      </c>
      <c r="G110" s="35" t="inlineStr">
        <is>
          <t>No</t>
        </is>
      </c>
      <c r="H110" s="36" t="inlineStr">
        <is>
          <t>Top a regime</t>
        </is>
      </c>
      <c r="I110" s="10" t="n">
        <v>1</v>
      </c>
      <c r="J110" s="36" t="inlineStr">
        <is>
          <t>Rientro spostato a ottobre (~6ª) e 10 gialli nel 24/25: solo parcheggio a 1.</t>
        </is>
      </c>
    </row>
    <row r="111">
      <c r="A111" s="37" t="n">
        <v>2</v>
      </c>
      <c r="B111" s="38" t="inlineStr">
        <is>
          <t>Buongiorno</t>
        </is>
      </c>
      <c r="C111" s="39" t="inlineStr">
        <is>
          <t>Napoli</t>
        </is>
      </c>
      <c r="D111" s="40" t="n">
        <v>7</v>
      </c>
      <c r="E111" s="40" t="n">
        <v>18</v>
      </c>
      <c r="F111" s="39" t="inlineStr">
        <is>
          <t>Rientro dic-gen?</t>
        </is>
      </c>
      <c r="G111" s="39" t="inlineStr">
        <is>
          <t>No</t>
        </is>
      </c>
      <c r="H111" s="41" t="inlineStr">
        <is>
          <t>Top a regime</t>
        </is>
      </c>
      <c r="I111" s="40" t="n">
        <v>1</v>
      </c>
      <c r="J111" s="41" t="inlineStr">
        <is>
          <t>Fonti tra ottobre e dicembre-gennaio: prudenzialmente mezzo girone. Solo a 1.</t>
        </is>
      </c>
    </row>
    <row r="112">
      <c r="A112" s="42" t="n">
        <v>3</v>
      </c>
      <c r="B112" s="43" t="inlineStr">
        <is>
          <t>Biraghi</t>
        </is>
      </c>
      <c r="C112" s="35" t="inlineStr">
        <is>
          <t>Torino</t>
        </is>
      </c>
      <c r="D112" s="10" t="n">
        <v>2</v>
      </c>
      <c r="E112" s="10" t="n">
        <v>5</v>
      </c>
      <c r="F112" s="35" t="inlineStr">
        <is>
          <t>Alta</t>
        </is>
      </c>
      <c r="G112" s="35" t="inlineStr">
        <is>
          <t>No</t>
        </is>
      </c>
      <c r="H112" s="36" t="inlineStr">
        <is>
          <t>Piazzati</t>
        </is>
      </c>
      <c r="I112" s="10" t="n">
        <v>4</v>
      </c>
      <c r="J112" s="36" t="inlineStr">
        <is>
          <t>Se non preso come D7</t>
        </is>
      </c>
    </row>
    <row r="113">
      <c r="A113" s="37" t="n">
        <v>4</v>
      </c>
      <c r="B113" s="38" t="inlineStr">
        <is>
          <t>Bracaglia</t>
        </is>
      </c>
      <c r="C113" s="39" t="inlineStr">
        <is>
          <t>Frosinone</t>
        </is>
      </c>
      <c r="D113" s="40" t="n">
        <v>5</v>
      </c>
      <c r="E113" s="40" t="n">
        <v>11</v>
      </c>
      <c r="F113" s="39" t="inlineStr">
        <is>
          <t>Alta</t>
        </is>
      </c>
      <c r="G113" s="39" t="inlineStr">
        <is>
          <t>No</t>
        </is>
      </c>
      <c r="H113" s="41" t="inlineStr">
        <is>
          <t>Frosinone</t>
        </is>
      </c>
      <c r="I113" s="40" t="n">
        <v>5</v>
      </c>
      <c r="J113" s="41" t="inlineStr">
        <is>
          <t>Se non preso prima</t>
        </is>
      </c>
    </row>
    <row r="114">
      <c r="A114" s="42" t="n">
        <v>5</v>
      </c>
      <c r="B114" s="43" t="inlineStr">
        <is>
          <t>Correia T.</t>
        </is>
      </c>
      <c r="C114" s="35" t="inlineStr">
        <is>
          <t>Venezia</t>
        </is>
      </c>
      <c r="D114" s="10" t="n">
        <v>4</v>
      </c>
      <c r="E114" s="10" t="n">
        <v>12</v>
      </c>
      <c r="F114" s="35" t="inlineStr">
        <is>
          <t>Alta</t>
        </is>
      </c>
      <c r="G114" s="35" t="inlineStr">
        <is>
          <t>No</t>
        </is>
      </c>
      <c r="H114" s="36" t="inlineStr">
        <is>
          <t>Venezia</t>
        </is>
      </c>
      <c r="I114" s="10" t="n">
        <v>4</v>
      </c>
      <c r="J114" s="36" t="inlineStr">
        <is>
          <t>Se non preso prima</t>
        </is>
      </c>
    </row>
    <row r="115">
      <c r="A115" t="n">
        <v>6</v>
      </c>
      <c r="B115" t="inlineStr">
        <is>
          <t>Marin R.</t>
        </is>
      </c>
      <c r="C115" t="inlineStr">
        <is>
          <t>Napoli</t>
        </is>
      </c>
      <c r="D115" t="n">
        <v>2</v>
      </c>
      <c r="E115" t="n">
        <v>6</v>
      </c>
      <c r="F115" t="inlineStr">
        <is>
          <t>Titolare per emergenza</t>
        </is>
      </c>
      <c r="G115" t="inlineStr">
        <is>
          <t>No</t>
        </is>
      </c>
      <c r="H115" t="inlineStr">
        <is>
          <t>Titolare del Napoli fino a ottobre</t>
        </is>
      </c>
      <c r="I115" t="n">
        <v>3</v>
      </c>
      <c r="J115" t="inlineStr">
        <is>
          <t>Buongiorno+Beukema+Marianucci out: titolare confermato dalle probabili. A Qt 2. Occhio all'arrivo di Badiashile.</t>
        </is>
      </c>
    </row>
    <row r="116">
      <c r="A116" t="n">
        <v>7</v>
      </c>
      <c r="B116" t="inlineStr">
        <is>
          <t>Calvani</t>
        </is>
      </c>
      <c r="C116" t="inlineStr">
        <is>
          <t>Frosinone</t>
        </is>
      </c>
      <c r="D116" t="n">
        <v>4</v>
      </c>
      <c r="E116" t="n">
        <v>10</v>
      </c>
      <c r="F116" t="inlineStr">
        <is>
          <t>Media</t>
        </is>
      </c>
      <c r="G116" t="inlineStr">
        <is>
          <t>No</t>
        </is>
      </c>
      <c r="H116" t="inlineStr">
        <is>
          <t>Frosinone</t>
        </is>
      </c>
      <c r="I116" t="n">
        <v>2</v>
      </c>
      <c r="J116" t="inlineStr">
        <is>
          <t>Scommessa a 1-2</t>
        </is>
      </c>
    </row>
    <row r="117">
      <c r="A117" t="n">
        <v>8</v>
      </c>
      <c r="B117" t="inlineStr">
        <is>
          <t>Perez M.</t>
        </is>
      </c>
      <c r="C117" t="inlineStr">
        <is>
          <t>Lecce</t>
        </is>
      </c>
      <c r="D117" t="n">
        <v>1</v>
      </c>
      <c r="E117" t="n">
        <v>1</v>
      </c>
      <c r="F117" t="inlineStr">
        <is>
          <t>Media</t>
        </is>
      </c>
      <c r="G117" t="inlineStr">
        <is>
          <t>No</t>
        </is>
      </c>
      <c r="H117" t="inlineStr">
        <is>
          <t>Lecce</t>
        </is>
      </c>
      <c r="I117" t="n">
        <v>1</v>
      </c>
      <c r="J117" t="inlineStr">
        <is>
          <t>Tappabuchi</t>
        </is>
      </c>
    </row>
    <row r="118">
      <c r="A118" t="n">
        <v>9</v>
      </c>
      <c r="B118" t="inlineStr">
        <is>
          <t>Tavares N.</t>
        </is>
      </c>
      <c r="C118" t="inlineStr">
        <is>
          <t>Lazio</t>
        </is>
      </c>
      <c r="D118" t="n">
        <v>6</v>
      </c>
      <c r="E118" t="n">
        <v>17</v>
      </c>
      <c r="F118" t="inlineStr">
        <is>
          <t>Ballottaggio</t>
        </is>
      </c>
      <c r="G118" t="inlineStr">
        <is>
          <t>No</t>
        </is>
      </c>
      <c r="H118" t="inlineStr">
        <is>
          <t>Assist</t>
        </is>
      </c>
      <c r="I118" t="n">
        <v>7</v>
      </c>
      <c r="J118" t="inlineStr">
        <is>
          <t>Scommessa di lusso</t>
        </is>
      </c>
    </row>
    <row r="119">
      <c r="A119" t="n">
        <v>10</v>
      </c>
      <c r="B119" t="inlineStr">
        <is>
          <t>Mangas</t>
        </is>
      </c>
      <c r="C119" t="inlineStr">
        <is>
          <t>Monza</t>
        </is>
      </c>
      <c r="D119" t="n">
        <v>6</v>
      </c>
      <c r="E119" t="n">
        <v>15</v>
      </c>
      <c r="F119" t="inlineStr">
        <is>
          <t>Alta</t>
        </is>
      </c>
      <c r="G119" t="inlineStr">
        <is>
          <t>No</t>
        </is>
      </c>
      <c r="H119" t="inlineStr">
        <is>
          <t>Monza</t>
        </is>
      </c>
      <c r="I119" t="n">
        <v>6</v>
      </c>
      <c r="J119" t="inlineStr">
        <is>
          <t>Se non preso prima</t>
        </is>
      </c>
    </row>
    <row r="120">
      <c r="A120" t="n">
        <v>11</v>
      </c>
      <c r="B120" t="inlineStr">
        <is>
          <t>Mitaj</t>
        </is>
      </c>
      <c r="C120" t="inlineStr">
        <is>
          <t>Genoa</t>
        </is>
      </c>
      <c r="D120" t="n">
        <v>4</v>
      </c>
      <c r="E120" t="n">
        <v>9</v>
      </c>
      <c r="F120" t="inlineStr">
        <is>
          <t>Alta</t>
        </is>
      </c>
      <c r="G120" t="inlineStr">
        <is>
          <t>No</t>
        </is>
      </c>
      <c r="H120" t="inlineStr">
        <is>
          <t>Quinto sinistro nuovo di De Rossi</t>
        </is>
      </c>
      <c r="I120" t="n">
        <v>4</v>
      </c>
      <c r="J120" t="inlineStr">
        <is>
          <t>Favorito ~55% su Ellertsson ma BRUCIATO (FantaMaster, Goal, Sisal): non più a 1-2.</t>
        </is>
      </c>
    </row>
    <row r="121">
      <c r="A121" t="n">
        <v>12</v>
      </c>
      <c r="B121" t="inlineStr">
        <is>
          <t>Marusic</t>
        </is>
      </c>
      <c r="C121" t="inlineStr">
        <is>
          <t>Lazio</t>
        </is>
      </c>
      <c r="D121" t="n">
        <v>6</v>
      </c>
      <c r="E121" t="n">
        <v>20</v>
      </c>
      <c r="F121" t="inlineStr">
        <is>
          <t>Alta</t>
        </is>
      </c>
      <c r="G121" t="inlineStr">
        <is>
          <t>No</t>
        </is>
      </c>
      <c r="H121" t="inlineStr">
        <is>
          <t>Usato sicuro sulle fasce</t>
        </is>
      </c>
      <c r="I121" t="n">
        <v>5</v>
      </c>
      <c r="J121" t="inlineStr">
        <is>
          <t>Scommessa citata dalle guide: esperienza e titolarità nella Lazio</t>
        </is>
      </c>
    </row>
    <row r="122">
      <c r="A122" t="n">
        <v>13</v>
      </c>
      <c r="B122" t="inlineStr">
        <is>
          <t>Kempf</t>
        </is>
      </c>
      <c r="C122" t="inlineStr">
        <is>
          <t>Como</t>
        </is>
      </c>
      <c r="D122" t="n">
        <v>5</v>
      </c>
      <c r="E122" t="n">
        <v>13</v>
      </c>
      <c r="F122" t="inlineStr">
        <is>
          <t>Altissima</t>
        </is>
      </c>
      <c r="G122" t="inlineStr">
        <is>
          <t>No</t>
        </is>
      </c>
      <c r="H122" t="inlineStr">
        <is>
          <t>Como</t>
        </is>
      </c>
      <c r="I122" t="n">
        <v>7</v>
      </c>
      <c r="J122" t="inlineStr">
        <is>
          <t>Se non preso prima</t>
        </is>
      </c>
    </row>
  </sheetData>
  <mergeCells count="8">
    <mergeCell ref="A32:J32"/>
    <mergeCell ref="A46:J46"/>
    <mergeCell ref="A18:J18"/>
    <mergeCell ref="A62:J62"/>
    <mergeCell ref="A91:J91"/>
    <mergeCell ref="A4:J4"/>
    <mergeCell ref="A76:J76"/>
    <mergeCell ref="A108:J108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2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10" defaultColWidth="8.6640625" defaultRowHeight="15"/>
  <cols>
    <col width="8" customWidth="1" min="1" max="1"/>
    <col width="18" customWidth="1" min="2" max="2"/>
    <col width="11" customWidth="1" min="3" max="3"/>
    <col width="6" customWidth="1" min="4" max="5"/>
    <col width="16" customWidth="1" min="6" max="7"/>
    <col width="34" customWidth="1" min="8" max="8"/>
    <col width="9" customWidth="1" min="9" max="9"/>
    <col width="52" customWidth="1" min="10" max="10"/>
  </cols>
  <sheetData>
    <row r="1" ht="18" customHeight="1">
      <c r="A1" s="33" t="inlineStr">
        <is>
          <t>CENTROCAMPISTI · target + 10 alternative per ogni slot, in ordine di priorità</t>
        </is>
      </c>
    </row>
    <row r="2">
      <c r="A2" s="4" t="inlineStr">
        <is>
          <t>Priorità 1 = target consigliato (già riportato nel foglio Asta). Se un nome è già stato battuto, passa al successivo. "Se non preso prima": nomi condivisi tra slot vicini del reparto.</t>
        </is>
      </c>
    </row>
    <row r="3"/>
    <row r="4">
      <c r="A4" s="1" t="inlineStr">
        <is>
          <t>SLOT C1 — Top di reparto (vince il fanta) · budget consigliato: 90</t>
        </is>
      </c>
    </row>
    <row r="5" ht="28" customHeight="1">
      <c r="A5" s="45" t="inlineStr">
        <is>
          <t>Priorità</t>
        </is>
      </c>
      <c r="B5" s="45" t="inlineStr">
        <is>
          <t>Giocatore</t>
        </is>
      </c>
      <c r="C5" s="45" t="inlineStr">
        <is>
          <t>Squadra</t>
        </is>
      </c>
      <c r="D5" s="45" t="inlineStr">
        <is>
          <t>Qt.A</t>
        </is>
      </c>
      <c r="E5" s="45" t="inlineStr">
        <is>
          <t>FVM</t>
        </is>
      </c>
      <c r="F5" s="45" t="inlineStr">
        <is>
          <t>Titolarità</t>
        </is>
      </c>
      <c r="G5" s="45" t="inlineStr">
        <is>
          <t>Rigorista</t>
        </is>
      </c>
      <c r="H5" s="45" t="inlineStr">
        <is>
          <t>Bonus attesi / punti di forza</t>
        </is>
      </c>
      <c r="I5" s="45" t="inlineStr">
        <is>
          <t>Prezzo max</t>
        </is>
      </c>
      <c r="J5" s="45" t="inlineStr">
        <is>
          <t>Note</t>
        </is>
      </c>
    </row>
    <row r="6" ht="26" customHeight="1">
      <c r="A6" s="16" t="n">
        <v>1</v>
      </c>
      <c r="B6" s="5" t="inlineStr">
        <is>
          <t>Paz N.</t>
        </is>
      </c>
      <c r="C6" s="35" t="inlineStr">
        <is>
          <t>Como</t>
        </is>
      </c>
      <c r="D6" s="10" t="n">
        <v>30</v>
      </c>
      <c r="E6" s="10" t="n">
        <v>250</v>
      </c>
      <c r="F6" s="35" t="inlineStr">
        <is>
          <t>Altissima</t>
        </is>
      </c>
      <c r="G6" s="35" t="inlineStr">
        <is>
          <t>No</t>
        </is>
      </c>
      <c r="H6" s="36" t="inlineStr">
        <is>
          <t>In doppia cifra nel 25/26, gol+assist</t>
        </is>
      </c>
      <c r="I6" s="10" t="n">
        <v>95</v>
      </c>
      <c r="J6" s="36" t="inlineStr">
        <is>
          <t>Il C che vi fa vincere il fanta: punizioni e corner SUOI (con Baturina), rigori a Da Cunha. Rientrato e titolare.</t>
        </is>
      </c>
    </row>
    <row r="7" ht="26" customHeight="1">
      <c r="A7" s="37" t="n">
        <v>2</v>
      </c>
      <c r="B7" s="38" t="inlineStr">
        <is>
          <t>McTominay</t>
        </is>
      </c>
      <c r="C7" s="39" t="inlineStr">
        <is>
          <t>Napoli</t>
        </is>
      </c>
      <c r="D7" s="40" t="n">
        <v>28</v>
      </c>
      <c r="E7" s="40" t="n">
        <v>240</v>
      </c>
      <c r="F7" s="39" t="inlineStr">
        <is>
          <t>Altissima</t>
        </is>
      </c>
      <c r="G7" s="39" t="inlineStr">
        <is>
          <t>No</t>
        </is>
      </c>
      <c r="H7" s="41" t="inlineStr">
        <is>
          <t>Doppia cifra ripetibile</t>
        </is>
      </c>
      <c r="I7" s="40" t="n">
        <v>95</v>
      </c>
      <c r="J7" s="41" t="inlineStr">
        <is>
          <t>MVP dello scudetto: inserimenti e gol pesanti, prima chiamata del reparto</t>
        </is>
      </c>
    </row>
    <row r="8">
      <c r="A8" s="42" t="n">
        <v>3</v>
      </c>
      <c r="B8" s="43" t="inlineStr">
        <is>
          <t>Calhanoglu</t>
        </is>
      </c>
      <c r="C8" s="35" t="inlineStr">
        <is>
          <t>Inter</t>
        </is>
      </c>
      <c r="D8" s="10" t="n">
        <v>27</v>
      </c>
      <c r="E8" s="10" t="n">
        <v>230</v>
      </c>
      <c r="F8" s="35" t="inlineStr">
        <is>
          <t>Altissima</t>
        </is>
      </c>
      <c r="G8" s="35" t="inlineStr">
        <is>
          <t>Sì</t>
        </is>
      </c>
      <c r="H8" s="36" t="inlineStr">
        <is>
          <t>Rigori + punizioni + tiro da fuori</t>
        </is>
      </c>
      <c r="I8" s="10" t="n">
        <v>85</v>
      </c>
      <c r="J8" s="36" t="inlineStr">
        <is>
          <t>Il rigorista più solido della A MA 7 gialli in 22 presenze nel 25/26 (peggior rateo tra i big): col fairplay il premio si assottiglia.</t>
        </is>
      </c>
    </row>
    <row r="9" ht="26" customHeight="1">
      <c r="A9" s="37" t="n">
        <v>4</v>
      </c>
      <c r="B9" s="38" t="inlineStr">
        <is>
          <t>Orsolini</t>
        </is>
      </c>
      <c r="C9" s="39" t="inlineStr">
        <is>
          <t>Bologna</t>
        </is>
      </c>
      <c r="D9" s="40" t="n">
        <v>26</v>
      </c>
      <c r="E9" s="40" t="n">
        <v>200</v>
      </c>
      <c r="F9" s="39" t="inlineStr">
        <is>
          <t>Altissima</t>
        </is>
      </c>
      <c r="G9" s="39" t="inlineStr">
        <is>
          <t>Sì (in ballottaggio)</t>
        </is>
      </c>
      <c r="H9" s="41" t="inlineStr">
        <is>
          <t>Doppia cifra nel 25/26</t>
        </is>
      </c>
      <c r="I9" s="40" t="n">
        <v>80</v>
      </c>
      <c r="J9" s="41" t="inlineStr">
        <is>
          <t>1° rigorista CONFERMATO (Dovbyk solo 3°: insidia ridimensionata) e 2 gialli in 35: bonus + fairplay.</t>
        </is>
      </c>
    </row>
    <row r="10">
      <c r="A10" s="42" t="n">
        <v>5</v>
      </c>
      <c r="B10" s="43" t="inlineStr">
        <is>
          <t>Rabiot</t>
        </is>
      </c>
      <c r="C10" s="35" t="inlineStr">
        <is>
          <t>Milan</t>
        </is>
      </c>
      <c r="D10" s="10" t="n">
        <v>22</v>
      </c>
      <c r="E10" s="10" t="n">
        <v>128</v>
      </c>
      <c r="F10" s="35" t="inlineStr">
        <is>
          <t>Altissima</t>
        </is>
      </c>
      <c r="G10" s="35" t="inlineStr">
        <is>
          <t>No</t>
        </is>
      </c>
      <c r="H10" s="36" t="inlineStr">
        <is>
          <t>Inserimenti e gol</t>
        </is>
      </c>
      <c r="I10" s="10" t="n">
        <v>55</v>
      </c>
      <c r="J10" s="36" t="inlineStr">
        <is>
          <t>Perno del Milan di Amorim</t>
        </is>
      </c>
    </row>
    <row r="11">
      <c r="A11" s="37" t="n">
        <v>6</v>
      </c>
      <c r="B11" s="38" t="inlineStr">
        <is>
          <t>Baturina</t>
        </is>
      </c>
      <c r="C11" s="39" t="inlineStr">
        <is>
          <t>Como</t>
        </is>
      </c>
      <c r="D11" s="40" t="n">
        <v>19</v>
      </c>
      <c r="E11" s="40" t="n">
        <v>102</v>
      </c>
      <c r="F11" s="39" t="inlineStr">
        <is>
          <t>Alta</t>
        </is>
      </c>
      <c r="G11" s="39" t="inlineStr">
        <is>
          <t>No</t>
        </is>
      </c>
      <c r="H11" s="41" t="inlineStr">
        <is>
          <t>Talento in esplosione</t>
        </is>
      </c>
      <c r="I11" s="40" t="n">
        <v>45</v>
      </c>
      <c r="J11" s="41" t="inlineStr">
        <is>
          <t>Hype in crescita: la qualità c'è tutta</t>
        </is>
      </c>
    </row>
    <row r="12">
      <c r="A12" s="42" t="n">
        <v>7</v>
      </c>
      <c r="B12" s="43" t="inlineStr">
        <is>
          <t>Zaniolo</t>
        </is>
      </c>
      <c r="C12" s="35" t="inlineStr">
        <is>
          <t>Udinese</t>
        </is>
      </c>
      <c r="D12" s="10" t="n">
        <v>18</v>
      </c>
      <c r="E12" s="10" t="n">
        <v>100</v>
      </c>
      <c r="F12" s="35" t="inlineStr">
        <is>
          <t>Altissima (se resta)</t>
        </is>
      </c>
      <c r="G12" s="35" t="inlineStr">
        <is>
          <t>No</t>
        </is>
      </c>
      <c r="H12" s="36" t="inlineStr">
        <is>
          <t>Attaccante aggiunto</t>
        </is>
      </c>
      <c r="I12" s="10" t="n">
        <v>45</v>
      </c>
      <c r="J12" s="36" t="inlineStr">
        <is>
          <t>Titolarissimo con piazzati, Sky lo dà low cost — ma 8 gialli nel 25/26: malus da prezzare.</t>
        </is>
      </c>
    </row>
    <row r="13">
      <c r="A13" s="37" t="n">
        <v>8</v>
      </c>
      <c r="B13" s="38" t="inlineStr">
        <is>
          <t>Da Cunha</t>
        </is>
      </c>
      <c r="C13" s="39" t="inlineStr">
        <is>
          <t>Como</t>
        </is>
      </c>
      <c r="D13" s="40" t="n">
        <v>18</v>
      </c>
      <c r="E13" s="40" t="n">
        <v>90</v>
      </c>
      <c r="F13" s="39" t="inlineStr">
        <is>
          <t>Altissima</t>
        </is>
      </c>
      <c r="G13" s="39" t="inlineStr">
        <is>
          <t>Sì (4/4)</t>
        </is>
      </c>
      <c r="H13" s="41" t="inlineStr">
        <is>
          <t>Gol+assist nel Como</t>
        </is>
      </c>
      <c r="I13" s="40" t="n">
        <v>48</v>
      </c>
      <c r="J13" s="41" t="inlineStr">
        <is>
          <t>Motore del Como E 1° rigorista, solo 4 gialli in 36: vale più di quanto costa.</t>
        </is>
      </c>
    </row>
    <row r="14">
      <c r="A14" s="42" t="n">
        <v>9</v>
      </c>
      <c r="B14" s="43" t="inlineStr">
        <is>
          <t>Barella</t>
        </is>
      </c>
      <c r="C14" s="35" t="inlineStr">
        <is>
          <t>Inter</t>
        </is>
      </c>
      <c r="D14" s="10" t="n">
        <v>17</v>
      </c>
      <c r="E14" s="10" t="n">
        <v>80</v>
      </c>
      <c r="F14" s="35" t="inlineStr">
        <is>
          <t>Altissima</t>
        </is>
      </c>
      <c r="G14" s="35" t="inlineStr">
        <is>
          <t>No</t>
        </is>
      </c>
      <c r="H14" s="36" t="inlineStr">
        <is>
          <t>Voti alti costanti + bonus</t>
        </is>
      </c>
      <c r="I14" s="10" t="n">
        <v>40</v>
      </c>
      <c r="J14" s="36" t="inlineStr">
        <is>
          <t>Sempre titolare, garanzia di rendimento</t>
        </is>
      </c>
    </row>
    <row r="15">
      <c r="A15" s="37" t="n">
        <v>10</v>
      </c>
      <c r="B15" s="38" t="inlineStr">
        <is>
          <t>Pulisic</t>
        </is>
      </c>
      <c r="C15" s="39" t="inlineStr">
        <is>
          <t>Milan</t>
        </is>
      </c>
      <c r="D15" s="40" t="n">
        <v>25</v>
      </c>
      <c r="E15" s="40" t="n">
        <v>180</v>
      </c>
      <c r="F15" s="39" t="inlineStr">
        <is>
          <t>Out fino a settembre</t>
        </is>
      </c>
      <c r="G15" s="39" t="inlineStr">
        <is>
          <t>Alternativa</t>
        </is>
      </c>
      <c r="H15" s="41" t="inlineStr">
        <is>
          <t>Gol+assist</t>
        </is>
      </c>
      <c r="I15" s="40" t="n">
        <v>15</v>
      </c>
      <c r="J15" s="41" t="inlineStr">
        <is>
          <t>PEGGIORATO: rientro realistico inizio settembre (mirino sulla Juve). Salta le prime. Non pagarlo da top.</t>
        </is>
      </c>
    </row>
    <row r="16">
      <c r="A16" s="42" t="n">
        <v>11</v>
      </c>
      <c r="B16" s="43" t="inlineStr">
        <is>
          <t>Atta</t>
        </is>
      </c>
      <c r="C16" s="35" t="inlineStr">
        <is>
          <t>Fiorentina</t>
        </is>
      </c>
      <c r="D16" s="10" t="n">
        <v>17</v>
      </c>
      <c r="E16" s="10" t="n">
        <v>87</v>
      </c>
      <c r="F16" s="35" t="inlineStr">
        <is>
          <t>Altissima</t>
        </is>
      </c>
      <c r="G16" s="35" t="inlineStr">
        <is>
          <t>No</t>
        </is>
      </c>
      <c r="H16" s="36" t="inlineStr">
        <is>
          <t>Grandi gioie in viola</t>
        </is>
      </c>
      <c r="I16" s="10" t="n">
        <v>40</v>
      </c>
      <c r="J16" s="36" t="inlineStr">
        <is>
          <t>Alla Fiorentina può esplodere definitivamente</t>
        </is>
      </c>
    </row>
    <row r="17"/>
    <row r="18">
      <c r="A18" s="1" t="inlineStr">
        <is>
          <t>SLOT C2 — Secondo top / rigorista · budget consigliato: 70</t>
        </is>
      </c>
    </row>
    <row r="19" ht="28" customHeight="1">
      <c r="A19" s="45" t="inlineStr">
        <is>
          <t>Priorità</t>
        </is>
      </c>
      <c r="B19" s="45" t="inlineStr">
        <is>
          <t>Giocatore</t>
        </is>
      </c>
      <c r="C19" s="45" t="inlineStr">
        <is>
          <t>Squadra</t>
        </is>
      </c>
      <c r="D19" s="45" t="inlineStr">
        <is>
          <t>Qt.A</t>
        </is>
      </c>
      <c r="E19" s="45" t="inlineStr">
        <is>
          <t>FVM</t>
        </is>
      </c>
      <c r="F19" s="45" t="inlineStr">
        <is>
          <t>Titolarità</t>
        </is>
      </c>
      <c r="G19" s="45" t="inlineStr">
        <is>
          <t>Rigorista</t>
        </is>
      </c>
      <c r="H19" s="45" t="inlineStr">
        <is>
          <t>Bonus attesi / punti di forza</t>
        </is>
      </c>
      <c r="I19" s="45" t="inlineStr">
        <is>
          <t>Prezzo max</t>
        </is>
      </c>
      <c r="J19" s="45" t="inlineStr">
        <is>
          <t>Note</t>
        </is>
      </c>
    </row>
    <row r="20">
      <c r="A20" s="16" t="n">
        <v>1</v>
      </c>
      <c r="B20" s="5" t="inlineStr">
        <is>
          <t>Calhanoglu</t>
        </is>
      </c>
      <c r="C20" s="35" t="inlineStr">
        <is>
          <t>Inter</t>
        </is>
      </c>
      <c r="D20" s="10" t="n">
        <v>27</v>
      </c>
      <c r="E20" s="10" t="n">
        <v>230</v>
      </c>
      <c r="F20" s="35" t="inlineStr">
        <is>
          <t>Altissima</t>
        </is>
      </c>
      <c r="G20" s="35" t="inlineStr">
        <is>
          <t>Sì</t>
        </is>
      </c>
      <c r="H20" s="36" t="inlineStr">
        <is>
          <t>Rigorista Inter</t>
        </is>
      </c>
      <c r="I20" s="10" t="n">
        <v>85</v>
      </c>
      <c r="J20" s="36" t="inlineStr">
        <is>
          <t>55/62 in carriera, certezza assoluta — ma 0,32 cartellini/gara nel 25/26: fairplay pessimo.</t>
        </is>
      </c>
    </row>
    <row r="21">
      <c r="A21" s="37" t="n">
        <v>2</v>
      </c>
      <c r="B21" s="38" t="inlineStr">
        <is>
          <t>Orsolini</t>
        </is>
      </c>
      <c r="C21" s="39" t="inlineStr">
        <is>
          <t>Bologna</t>
        </is>
      </c>
      <c r="D21" s="40" t="n">
        <v>26</v>
      </c>
      <c r="E21" s="40" t="n">
        <v>200</v>
      </c>
      <c r="F21" s="39" t="inlineStr">
        <is>
          <t>Altissima</t>
        </is>
      </c>
      <c r="G21" s="39" t="inlineStr">
        <is>
          <t>Sì (in ballottaggio)</t>
        </is>
      </c>
      <c r="H21" s="41" t="inlineStr">
        <is>
          <t>Bonus pesanti</t>
        </is>
      </c>
      <c r="I21" s="40" t="n">
        <v>80</v>
      </c>
      <c r="J21" s="41" t="inlineStr">
        <is>
          <t>Rigorista confermato, 2 gialli in 35 presenze: il top C col miglior profilo fairplay.</t>
        </is>
      </c>
    </row>
    <row r="22">
      <c r="A22" s="42" t="n">
        <v>3</v>
      </c>
      <c r="B22" s="43" t="inlineStr">
        <is>
          <t>De Bruyne</t>
        </is>
      </c>
      <c r="C22" s="35" t="inlineStr">
        <is>
          <t>Napoli</t>
        </is>
      </c>
      <c r="D22" s="10" t="n">
        <v>15</v>
      </c>
      <c r="E22" s="10" t="n">
        <v>98</v>
      </c>
      <c r="F22" s="35" t="inlineStr">
        <is>
          <t>Alta</t>
        </is>
      </c>
      <c r="G22" s="35" t="inlineStr">
        <is>
          <t>Sì (1° del Napoli)</t>
        </is>
      </c>
      <c r="H22" s="36" t="inlineStr">
        <is>
          <t>Calciava praticamente tutto</t>
        </is>
      </c>
      <c r="I22" s="10" t="n">
        <v>50</v>
      </c>
      <c r="J22" s="36" t="inlineStr">
        <is>
          <t>Rigori+punizioni+corner e 1 solo giallo (fairplay top) MA fantacalcio.it 14/8 schiera Anguissa: minutaggio vero tema. Semi-top, non 1° slot.</t>
        </is>
      </c>
    </row>
    <row r="23">
      <c r="A23" s="37" t="n">
        <v>4</v>
      </c>
      <c r="B23" s="38" t="inlineStr">
        <is>
          <t>Zaccagni</t>
        </is>
      </c>
      <c r="C23" s="39" t="inlineStr">
        <is>
          <t>Lazio</t>
        </is>
      </c>
      <c r="D23" s="40" t="n">
        <v>16</v>
      </c>
      <c r="E23" s="40" t="n">
        <v>91</v>
      </c>
      <c r="F23" s="39" t="inlineStr">
        <is>
          <t>Altissima</t>
        </is>
      </c>
      <c r="G23" s="39" t="inlineStr">
        <is>
          <t>No</t>
        </is>
      </c>
      <c r="H23" s="41" t="inlineStr">
        <is>
          <t>Sulla carta un top</t>
        </is>
      </c>
      <c r="I23" s="40" t="n">
        <v>45</v>
      </c>
      <c r="J23" s="41" t="inlineStr">
        <is>
          <t>Capitano ma rigori NON garantiti (Sky dà Cataldi) e fairplay pessimo: 6 gialli + 1 rosso nel 25/26, 10 nel 24/25.</t>
        </is>
      </c>
    </row>
    <row r="24" ht="26" customHeight="1">
      <c r="A24" s="42" t="n">
        <v>5</v>
      </c>
      <c r="B24" s="43" t="inlineStr">
        <is>
          <t>Vlasic</t>
        </is>
      </c>
      <c r="C24" s="35" t="inlineStr">
        <is>
          <t>Torino</t>
        </is>
      </c>
      <c r="D24" s="10" t="n">
        <v>14</v>
      </c>
      <c r="E24" s="10" t="n">
        <v>80</v>
      </c>
      <c r="F24" s="35" t="inlineStr">
        <is>
          <t>Altissima</t>
        </is>
      </c>
      <c r="G24" s="35" t="inlineStr">
        <is>
          <t>Sì</t>
        </is>
      </c>
      <c r="H24" s="36" t="inlineStr">
        <is>
          <t>5-6 gol + rigori</t>
        </is>
      </c>
      <c r="I24" s="10" t="n">
        <v>40</v>
      </c>
      <c r="J24" s="36" t="inlineStr">
        <is>
          <t>Rigori (5/5) + tutti i piazzati confermati MA 7 ammonizioni nel 25/26: resta il miglior rapporto bonus/prezzo tra i C, scontando il malus.</t>
        </is>
      </c>
    </row>
    <row r="25">
      <c r="A25" s="37" t="n">
        <v>6</v>
      </c>
      <c r="B25" s="38" t="inlineStr">
        <is>
          <t>Zaniolo</t>
        </is>
      </c>
      <c r="C25" s="39" t="inlineStr">
        <is>
          <t>Udinese</t>
        </is>
      </c>
      <c r="D25" s="40" t="n">
        <v>18</v>
      </c>
      <c r="E25" s="40" t="n">
        <v>100</v>
      </c>
      <c r="F25" s="39" t="inlineStr">
        <is>
          <t>Altissima</t>
        </is>
      </c>
      <c r="G25" s="39" t="inlineStr">
        <is>
          <t>No</t>
        </is>
      </c>
      <c r="H25" s="41" t="inlineStr">
        <is>
          <t>Attaccante aggiunto</t>
        </is>
      </c>
      <c r="I25" s="40" t="n">
        <v>45</v>
      </c>
      <c r="J25" s="41" t="inlineStr">
        <is>
          <t>Titolare 7/7, piazzati col mancino, MA 8 gialli nel 25/26 e in peggioramento.</t>
        </is>
      </c>
    </row>
    <row r="26">
      <c r="A26" s="42" t="n">
        <v>7</v>
      </c>
      <c r="B26" s="43" t="inlineStr">
        <is>
          <t>Barella</t>
        </is>
      </c>
      <c r="C26" s="35" t="inlineStr">
        <is>
          <t>Inter</t>
        </is>
      </c>
      <c r="D26" s="10" t="n">
        <v>17</v>
      </c>
      <c r="E26" s="10" t="n">
        <v>80</v>
      </c>
      <c r="F26" s="35" t="inlineStr">
        <is>
          <t>Altissima</t>
        </is>
      </c>
      <c r="G26" s="35" t="inlineStr">
        <is>
          <t>No</t>
        </is>
      </c>
      <c r="H26" s="36" t="inlineStr">
        <is>
          <t>Garanzia</t>
        </is>
      </c>
      <c r="I26" s="10" t="n">
        <v>40</v>
      </c>
      <c r="J26" s="36" t="inlineStr">
        <is>
          <t>Se non preso come C1</t>
        </is>
      </c>
    </row>
    <row r="27">
      <c r="A27" s="37" t="n">
        <v>8</v>
      </c>
      <c r="B27" s="38" t="inlineStr">
        <is>
          <t>Atta</t>
        </is>
      </c>
      <c r="C27" s="39" t="inlineStr">
        <is>
          <t>Fiorentina</t>
        </is>
      </c>
      <c r="D27" s="40" t="n">
        <v>17</v>
      </c>
      <c r="E27" s="40" t="n">
        <v>87</v>
      </c>
      <c r="F27" s="39" t="inlineStr">
        <is>
          <t>Altissima</t>
        </is>
      </c>
      <c r="G27" s="39" t="inlineStr">
        <is>
          <t>No</t>
        </is>
      </c>
      <c r="H27" s="41" t="inlineStr">
        <is>
          <t>Fiorentina</t>
        </is>
      </c>
      <c r="I27" s="40" t="n">
        <v>40</v>
      </c>
      <c r="J27" s="41" t="inlineStr">
        <is>
          <t>Se non preso come C1</t>
        </is>
      </c>
    </row>
    <row r="28">
      <c r="A28" s="42" t="n">
        <v>9</v>
      </c>
      <c r="B28" s="43" t="inlineStr">
        <is>
          <t>Baturina</t>
        </is>
      </c>
      <c r="C28" s="35" t="inlineStr">
        <is>
          <t>Como</t>
        </is>
      </c>
      <c r="D28" s="10" t="n">
        <v>19</v>
      </c>
      <c r="E28" s="10" t="n">
        <v>102</v>
      </c>
      <c r="F28" s="35" t="inlineStr">
        <is>
          <t>Alta</t>
        </is>
      </c>
      <c r="G28" s="35" t="inlineStr">
        <is>
          <t>No</t>
        </is>
      </c>
      <c r="H28" s="36" t="inlineStr">
        <is>
          <t>Talento</t>
        </is>
      </c>
      <c r="I28" s="10" t="n">
        <v>45</v>
      </c>
      <c r="J28" s="36" t="inlineStr">
        <is>
          <t>Se non preso come C1</t>
        </is>
      </c>
    </row>
    <row r="29">
      <c r="A29" s="37" t="n">
        <v>10</v>
      </c>
      <c r="B29" s="38" t="inlineStr">
        <is>
          <t>Pulisic</t>
        </is>
      </c>
      <c r="C29" s="39" t="inlineStr">
        <is>
          <t>Milan</t>
        </is>
      </c>
      <c r="D29" s="40" t="n">
        <v>25</v>
      </c>
      <c r="E29" s="40" t="n">
        <v>180</v>
      </c>
      <c r="F29" s="39" t="inlineStr">
        <is>
          <t>Out fino a settembre</t>
        </is>
      </c>
      <c r="G29" s="39" t="inlineStr">
        <is>
          <t>Alternativa</t>
        </is>
      </c>
      <c r="H29" s="41" t="inlineStr">
        <is>
          <t>Bonus da top</t>
        </is>
      </c>
      <c r="I29" s="40" t="n">
        <v>15</v>
      </c>
      <c r="J29" s="41" t="inlineStr">
        <is>
          <t>Rientro inizio settembre: salta le prime giornate. Solo a forte sconto.</t>
        </is>
      </c>
    </row>
    <row r="30">
      <c r="A30" s="42" t="n">
        <v>11</v>
      </c>
      <c r="B30" s="43" t="inlineStr">
        <is>
          <t>Rabiot</t>
        </is>
      </c>
      <c r="C30" s="35" t="inlineStr">
        <is>
          <t>Milan</t>
        </is>
      </c>
      <c r="D30" s="10" t="n">
        <v>22</v>
      </c>
      <c r="E30" s="10" t="n">
        <v>128</v>
      </c>
      <c r="F30" s="35" t="inlineStr">
        <is>
          <t>Altissima</t>
        </is>
      </c>
      <c r="G30" s="35" t="inlineStr">
        <is>
          <t>No</t>
        </is>
      </c>
      <c r="H30" s="36" t="inlineStr">
        <is>
          <t>Milan</t>
        </is>
      </c>
      <c r="I30" s="10" t="n">
        <v>55</v>
      </c>
      <c r="J30" s="36" t="inlineStr">
        <is>
          <t>Se non preso come C1</t>
        </is>
      </c>
    </row>
    <row r="31"/>
    <row r="32">
      <c r="A32" s="1" t="inlineStr">
        <is>
          <t>SLOT C3 — Trequartista da bonus · budget consigliato: 40</t>
        </is>
      </c>
    </row>
    <row r="33" ht="28" customHeight="1">
      <c r="A33" s="45" t="inlineStr">
        <is>
          <t>Priorità</t>
        </is>
      </c>
      <c r="B33" s="45" t="inlineStr">
        <is>
          <t>Giocatore</t>
        </is>
      </c>
      <c r="C33" s="45" t="inlineStr">
        <is>
          <t>Squadra</t>
        </is>
      </c>
      <c r="D33" s="45" t="inlineStr">
        <is>
          <t>Qt.A</t>
        </is>
      </c>
      <c r="E33" s="45" t="inlineStr">
        <is>
          <t>FVM</t>
        </is>
      </c>
      <c r="F33" s="45" t="inlineStr">
        <is>
          <t>Titolarità</t>
        </is>
      </c>
      <c r="G33" s="45" t="inlineStr">
        <is>
          <t>Rigorista</t>
        </is>
      </c>
      <c r="H33" s="45" t="inlineStr">
        <is>
          <t>Bonus attesi / punti di forza</t>
        </is>
      </c>
      <c r="I33" s="45" t="inlineStr">
        <is>
          <t>Prezzo max</t>
        </is>
      </c>
      <c r="J33" s="45" t="inlineStr">
        <is>
          <t>Note</t>
        </is>
      </c>
    </row>
    <row r="34">
      <c r="A34" s="16" t="n">
        <v>1</v>
      </c>
      <c r="B34" s="5" t="inlineStr">
        <is>
          <t>De Bruyne</t>
        </is>
      </c>
      <c r="C34" s="35" t="inlineStr">
        <is>
          <t>Napoli</t>
        </is>
      </c>
      <c r="D34" s="10" t="n">
        <v>15</v>
      </c>
      <c r="E34" s="10" t="n">
        <v>98</v>
      </c>
      <c r="F34" s="35" t="inlineStr">
        <is>
          <t>Alta</t>
        </is>
      </c>
      <c r="G34" s="35" t="inlineStr">
        <is>
          <t>Sì (1° del Napoli)</t>
        </is>
      </c>
      <c r="H34" s="36" t="inlineStr">
        <is>
          <t>Piazzati del Napoli</t>
        </is>
      </c>
      <c r="I34" s="10" t="n">
        <v>50</v>
      </c>
      <c r="J34" s="36" t="inlineStr">
        <is>
          <t>Pacchetto bonus completo + fairplay pulito, ma il minutaggio con Allegri non è garantito (Anguissa insidia).</t>
        </is>
      </c>
    </row>
    <row r="35">
      <c r="A35" s="37" t="n">
        <v>2</v>
      </c>
      <c r="B35" s="38" t="inlineStr">
        <is>
          <t>Zaccagni</t>
        </is>
      </c>
      <c r="C35" s="39" t="inlineStr">
        <is>
          <t>Lazio</t>
        </is>
      </c>
      <c r="D35" s="40" t="n">
        <v>16</v>
      </c>
      <c r="E35" s="40" t="n">
        <v>91</v>
      </c>
      <c r="F35" s="39" t="inlineStr">
        <is>
          <t>Altissima</t>
        </is>
      </c>
      <c r="G35" s="39" t="inlineStr">
        <is>
          <t>No</t>
        </is>
      </c>
      <c r="H35" s="41" t="inlineStr">
        <is>
          <t>Rilancio atteso</t>
        </is>
      </c>
      <c r="I35" s="40" t="n">
        <v>45</v>
      </c>
      <c r="J35" s="41" t="inlineStr">
        <is>
          <t>Gerarchia rigori apertissima e 7 cartellini nel 25/26: doppio sconto d'obbligo.</t>
        </is>
      </c>
    </row>
    <row r="36">
      <c r="A36" s="42" t="n">
        <v>3</v>
      </c>
      <c r="B36" s="43" t="inlineStr">
        <is>
          <t>Vlasic</t>
        </is>
      </c>
      <c r="C36" s="35" t="inlineStr">
        <is>
          <t>Torino</t>
        </is>
      </c>
      <c r="D36" s="10" t="n">
        <v>14</v>
      </c>
      <c r="E36" s="10" t="n">
        <v>80</v>
      </c>
      <c r="F36" s="35" t="inlineStr">
        <is>
          <t>Altissima</t>
        </is>
      </c>
      <c r="G36" s="35" t="inlineStr">
        <is>
          <t>Sì</t>
        </is>
      </c>
      <c r="H36" s="36" t="inlineStr">
        <is>
          <t>Rigorista</t>
        </is>
      </c>
      <c r="I36" s="10" t="n">
        <v>40</v>
      </c>
      <c r="J36" s="36" t="inlineStr">
        <is>
          <t>Pacchetto bonus completo, 7 gialli nel 25/26: bonus &gt; malus, ma il fairplay lo sente.</t>
        </is>
      </c>
    </row>
    <row r="37">
      <c r="A37" s="37" t="n">
        <v>4</v>
      </c>
      <c r="B37" s="38" t="inlineStr">
        <is>
          <t>Taylor K.</t>
        </is>
      </c>
      <c r="C37" s="39" t="inlineStr">
        <is>
          <t>Lazio</t>
        </is>
      </c>
      <c r="D37" s="40" t="n">
        <v>13</v>
      </c>
      <c r="E37" s="40" t="n">
        <v>64</v>
      </c>
      <c r="F37" s="39" t="inlineStr">
        <is>
          <t>Altissima</t>
        </is>
      </c>
      <c r="G37" s="39" t="inlineStr">
        <is>
          <t>No</t>
        </is>
      </c>
      <c r="H37" s="41" t="inlineStr">
        <is>
          <t>Equilibrio voti alti + bonus</t>
        </is>
      </c>
      <c r="I37" s="40" t="n">
        <v>32</v>
      </c>
      <c r="J37" s="41" t="inlineStr">
        <is>
          <t>Il primo nome da chiamare tra i centrocampisti della Lazio</t>
        </is>
      </c>
    </row>
    <row r="38">
      <c r="A38" s="42" t="n">
        <v>5</v>
      </c>
      <c r="B38" s="43" t="inlineStr">
        <is>
          <t>Gudmundsson A.</t>
        </is>
      </c>
      <c r="C38" s="35" t="inlineStr">
        <is>
          <t>Fiorentina</t>
        </is>
      </c>
      <c r="D38" s="10" t="n">
        <v>13</v>
      </c>
      <c r="E38" s="10" t="n">
        <v>61</v>
      </c>
      <c r="F38" s="35" t="inlineStr">
        <is>
          <t>Alta</t>
        </is>
      </c>
      <c r="G38" s="35" t="inlineStr">
        <is>
          <t>Alternativa</t>
        </is>
      </c>
      <c r="H38" s="36" t="inlineStr">
        <is>
          <t>Qualità sulla trequarti</t>
        </is>
      </c>
      <c r="I38" s="10" t="n">
        <v>30</v>
      </c>
      <c r="J38" s="36" t="inlineStr">
        <is>
          <t>RESTA (zero offerte formali) ed è 'certo del posto' (14/8): rigorista favorito. Mercato aperto fino all'1/9: ultimo check il giorno dell'asta.</t>
        </is>
      </c>
    </row>
    <row r="39">
      <c r="A39" s="37" t="n">
        <v>6</v>
      </c>
      <c r="B39" s="38" t="inlineStr">
        <is>
          <t>Samardzic</t>
        </is>
      </c>
      <c r="C39" s="39" t="inlineStr">
        <is>
          <t>Atalanta</t>
        </is>
      </c>
      <c r="D39" s="40" t="n">
        <v>12</v>
      </c>
      <c r="E39" s="40" t="n">
        <v>42</v>
      </c>
      <c r="F39" s="39" t="inlineStr">
        <is>
          <t>Alta</t>
        </is>
      </c>
      <c r="G39" s="39" t="inlineStr">
        <is>
          <t>Alternativa</t>
        </is>
      </c>
      <c r="H39" s="41" t="inlineStr">
        <is>
          <t>2/2 dal dischetto nel 25/26</t>
        </is>
      </c>
      <c r="I39" s="40" t="n">
        <v>25</v>
      </c>
      <c r="J39" s="41" t="inlineStr">
        <is>
          <t>Ballottaggio VINTO (Sarri lo esalta), tutti i piazzati, 1 giallo nel 25/26 — ma ormai BRUCIATO (Sky/FantaMaster/Goal): alzare il budget.</t>
        </is>
      </c>
    </row>
    <row r="40">
      <c r="A40" s="42" t="n">
        <v>7</v>
      </c>
      <c r="B40" s="43" t="inlineStr">
        <is>
          <t>Conceicao</t>
        </is>
      </c>
      <c r="C40" s="35" t="inlineStr">
        <is>
          <t>Juventus</t>
        </is>
      </c>
      <c r="D40" s="10" t="n">
        <v>12</v>
      </c>
      <c r="E40" s="10" t="n">
        <v>60</v>
      </c>
      <c r="F40" s="35" t="inlineStr">
        <is>
          <t>Alta</t>
        </is>
      </c>
      <c r="G40" s="35" t="inlineStr">
        <is>
          <t>No</t>
        </is>
      </c>
      <c r="H40" s="36" t="inlineStr">
        <is>
          <t>Strappi e assist</t>
        </is>
      </c>
      <c r="I40" s="10" t="n">
        <v>26</v>
      </c>
      <c r="J40" s="36" t="inlineStr">
        <is>
          <t>Nella Juve di Spalletti può esplodere</t>
        </is>
      </c>
    </row>
    <row r="41">
      <c r="A41" s="37" t="n">
        <v>8</v>
      </c>
      <c r="B41" s="38" t="inlineStr">
        <is>
          <t>Mastantuono</t>
        </is>
      </c>
      <c r="C41" s="39" t="inlineStr">
        <is>
          <t>Fiorentina</t>
        </is>
      </c>
      <c r="D41" s="40" t="n">
        <v>12</v>
      </c>
      <c r="E41" s="40" t="n">
        <v>58</v>
      </c>
      <c r="F41" s="39" t="inlineStr">
        <is>
          <t>Panchina il 14/8</t>
        </is>
      </c>
      <c r="G41" s="39" t="inlineStr">
        <is>
          <t>No</t>
        </is>
      </c>
      <c r="H41" s="41" t="inlineStr">
        <is>
          <t>Talento argentino</t>
        </is>
      </c>
      <c r="I41" s="40" t="n">
        <v>8</v>
      </c>
      <c r="J41" s="41" t="inlineStr">
        <is>
          <t>RIDIMENSIONATO: fuori in Coppa Italia ('formazione collaudata'), Atta favorito. 3/3 sui rigori al River: prospetto, non titolare subito.</t>
        </is>
      </c>
    </row>
    <row r="42">
      <c r="A42" s="42" t="n">
        <v>9</v>
      </c>
      <c r="B42" s="43" t="inlineStr">
        <is>
          <t>Modric</t>
        </is>
      </c>
      <c r="C42" s="35" t="inlineStr">
        <is>
          <t>Milan</t>
        </is>
      </c>
      <c r="D42" s="10" t="n">
        <v>12</v>
      </c>
      <c r="E42" s="10" t="n">
        <v>50</v>
      </c>
      <c r="F42" s="35" t="inlineStr">
        <is>
          <t>Alta</t>
        </is>
      </c>
      <c r="G42" s="35" t="inlineStr">
        <is>
          <t>No</t>
        </is>
      </c>
      <c r="H42" s="36" t="inlineStr">
        <is>
          <t>Piazzati e qualità</t>
        </is>
      </c>
      <c r="I42" s="10" t="n">
        <v>25</v>
      </c>
      <c r="J42" s="36" t="inlineStr">
        <is>
          <t>Il Pallone d'Oro gestirà i piazzati del Milan</t>
        </is>
      </c>
    </row>
    <row r="43">
      <c r="A43" s="37" t="n">
        <v>10</v>
      </c>
      <c r="B43" s="38" t="inlineStr">
        <is>
          <t>Rodriguez Je.</t>
        </is>
      </c>
      <c r="C43" s="39" t="inlineStr">
        <is>
          <t>Como</t>
        </is>
      </c>
      <c r="D43" s="40" t="n">
        <v>12</v>
      </c>
      <c r="E43" s="40" t="n">
        <v>32</v>
      </c>
      <c r="F43" s="39" t="inlineStr">
        <is>
          <t>Alta</t>
        </is>
      </c>
      <c r="G43" s="39" t="inlineStr">
        <is>
          <t>No</t>
        </is>
      </c>
      <c r="H43" s="41" t="inlineStr">
        <is>
          <t>8 assist nel 25/26, cambio ruolo A→C</t>
        </is>
      </c>
      <c r="I43" s="40" t="n">
        <v>25</v>
      </c>
      <c r="J43" s="41" t="inlineStr">
        <is>
          <t>Jolly di prima fascia: da centrocampista merita un buon investimento</t>
        </is>
      </c>
    </row>
    <row r="44">
      <c r="A44" s="42" t="n">
        <v>11</v>
      </c>
      <c r="B44" s="43" t="inlineStr">
        <is>
          <t>Isaksen</t>
        </is>
      </c>
      <c r="C44" s="35" t="inlineStr">
        <is>
          <t>Lazio</t>
        </is>
      </c>
      <c r="D44" s="10" t="n">
        <v>9</v>
      </c>
      <c r="E44" s="10" t="n">
        <v>25</v>
      </c>
      <c r="F44" s="35" t="inlineStr">
        <is>
          <t>Alta (post-infortunio)</t>
        </is>
      </c>
      <c r="G44" s="35" t="inlineStr">
        <is>
          <t>No</t>
        </is>
      </c>
      <c r="H44" s="36" t="inlineStr">
        <is>
          <t>Gol+assist</t>
        </is>
      </c>
      <c r="I44" s="10" t="n">
        <v>20</v>
      </c>
      <c r="J44" s="36" t="inlineStr">
        <is>
          <t>In gruppo ma condizione da 2ª-3ª giornata: sconto d'avvio.</t>
        </is>
      </c>
    </row>
    <row r="45"/>
    <row r="46">
      <c r="A46" s="1" t="inlineStr">
        <is>
          <t>SLOT C4 — Titolare da potenziale doppia cifra · budget consigliato: 25</t>
        </is>
      </c>
    </row>
    <row r="47" ht="28" customHeight="1">
      <c r="A47" s="45" t="inlineStr">
        <is>
          <t>Priorità</t>
        </is>
      </c>
      <c r="B47" s="45" t="inlineStr">
        <is>
          <t>Giocatore</t>
        </is>
      </c>
      <c r="C47" s="45" t="inlineStr">
        <is>
          <t>Squadra</t>
        </is>
      </c>
      <c r="D47" s="45" t="inlineStr">
        <is>
          <t>Qt.A</t>
        </is>
      </c>
      <c r="E47" s="45" t="inlineStr">
        <is>
          <t>FVM</t>
        </is>
      </c>
      <c r="F47" s="45" t="inlineStr">
        <is>
          <t>Titolarità</t>
        </is>
      </c>
      <c r="G47" s="45" t="inlineStr">
        <is>
          <t>Rigorista</t>
        </is>
      </c>
      <c r="H47" s="45" t="inlineStr">
        <is>
          <t>Bonus attesi / punti di forza</t>
        </is>
      </c>
      <c r="I47" s="45" t="inlineStr">
        <is>
          <t>Prezzo max</t>
        </is>
      </c>
      <c r="J47" s="45" t="inlineStr">
        <is>
          <t>Note</t>
        </is>
      </c>
    </row>
    <row r="48">
      <c r="A48" s="16" t="n">
        <v>1</v>
      </c>
      <c r="B48" s="5" t="inlineStr">
        <is>
          <t>Taylor K.</t>
        </is>
      </c>
      <c r="C48" s="35" t="inlineStr">
        <is>
          <t>Lazio</t>
        </is>
      </c>
      <c r="D48" s="10" t="n">
        <v>13</v>
      </c>
      <c r="E48" s="10" t="n">
        <v>64</v>
      </c>
      <c r="F48" s="35" t="inlineStr">
        <is>
          <t>Altissima</t>
        </is>
      </c>
      <c r="G48" s="35" t="inlineStr">
        <is>
          <t>No</t>
        </is>
      </c>
      <c r="H48" s="36" t="inlineStr">
        <is>
          <t>Voti+bonus</t>
        </is>
      </c>
      <c r="I48" s="10" t="n">
        <v>32</v>
      </c>
      <c r="J48" s="36" t="inlineStr">
        <is>
          <t>Se non preso come C3</t>
        </is>
      </c>
    </row>
    <row r="49">
      <c r="A49" s="37" t="n">
        <v>2</v>
      </c>
      <c r="B49" s="38" t="inlineStr">
        <is>
          <t>Samardzic</t>
        </is>
      </c>
      <c r="C49" s="39" t="inlineStr">
        <is>
          <t>Atalanta</t>
        </is>
      </c>
      <c r="D49" s="40" t="n">
        <v>12</v>
      </c>
      <c r="E49" s="40" t="n">
        <v>42</v>
      </c>
      <c r="F49" s="39" t="inlineStr">
        <is>
          <t>Alta</t>
        </is>
      </c>
      <c r="G49" s="39" t="inlineStr">
        <is>
          <t>Alternativa</t>
        </is>
      </c>
      <c r="H49" s="41" t="inlineStr">
        <is>
          <t>Piazzati</t>
        </is>
      </c>
      <c r="I49" s="40" t="n">
        <v>28</v>
      </c>
      <c r="J49" s="41" t="inlineStr">
        <is>
          <t>Se non preso come C3</t>
        </is>
      </c>
    </row>
    <row r="50">
      <c r="A50" s="42" t="n">
        <v>3</v>
      </c>
      <c r="B50" s="43" t="inlineStr">
        <is>
          <t>Rodriguez Je.</t>
        </is>
      </c>
      <c r="C50" s="35" t="inlineStr">
        <is>
          <t>Como</t>
        </is>
      </c>
      <c r="D50" s="10" t="n">
        <v>12</v>
      </c>
      <c r="E50" s="10" t="n">
        <v>32</v>
      </c>
      <c r="F50" s="35" t="inlineStr">
        <is>
          <t>Alta</t>
        </is>
      </c>
      <c r="G50" s="35" t="inlineStr">
        <is>
          <t>No</t>
        </is>
      </c>
      <c r="H50" s="36" t="inlineStr">
        <is>
          <t>Da bonus</t>
        </is>
      </c>
      <c r="I50" s="10" t="n">
        <v>25</v>
      </c>
      <c r="J50" s="36" t="inlineStr">
        <is>
          <t>Se non preso come C3</t>
        </is>
      </c>
    </row>
    <row r="51">
      <c r="A51" s="37" t="n">
        <v>4</v>
      </c>
      <c r="B51" s="38" t="inlineStr">
        <is>
          <t>Ederson D.S.</t>
        </is>
      </c>
      <c r="C51" s="39" t="inlineStr">
        <is>
          <t>Atalanta</t>
        </is>
      </c>
      <c r="D51" s="40" t="n">
        <v>12</v>
      </c>
      <c r="E51" s="40" t="n">
        <v>45</v>
      </c>
      <c r="F51" s="39" t="inlineStr">
        <is>
          <t>Altissima</t>
        </is>
      </c>
      <c r="G51" s="39" t="inlineStr">
        <is>
          <t>Alternativa</t>
        </is>
      </c>
      <c r="H51" s="41" t="inlineStr">
        <is>
          <t>Box-to-box</t>
        </is>
      </c>
      <c r="I51" s="40" t="n">
        <v>22</v>
      </c>
      <c r="J51" s="41" t="inlineStr">
        <is>
          <t>1 su 1 dal dischetto nel 25/26: con Sarri resta perno</t>
        </is>
      </c>
    </row>
    <row r="52">
      <c r="A52" s="42" t="n">
        <v>5</v>
      </c>
      <c r="B52" s="43" t="inlineStr">
        <is>
          <t>Zielinski</t>
        </is>
      </c>
      <c r="C52" s="35" t="inlineStr">
        <is>
          <t>Inter</t>
        </is>
      </c>
      <c r="D52" s="10" t="n">
        <v>10</v>
      </c>
      <c r="E52" s="10" t="n">
        <v>41</v>
      </c>
      <c r="F52" s="35" t="inlineStr">
        <is>
          <t>Alta</t>
        </is>
      </c>
      <c r="G52" s="35" t="inlineStr">
        <is>
          <t>No</t>
        </is>
      </c>
      <c r="H52" s="36" t="inlineStr">
        <is>
          <t>Qualità e gol</t>
        </is>
      </c>
      <c r="I52" s="10" t="n">
        <v>18</v>
      </c>
      <c r="J52" s="36" t="inlineStr">
        <is>
          <t>Nell'Inter di Chivu ha ritrovato spazio</t>
        </is>
      </c>
    </row>
    <row r="53">
      <c r="A53" s="37" t="n">
        <v>6</v>
      </c>
      <c r="B53" s="38" t="inlineStr">
        <is>
          <t>Politano</t>
        </is>
      </c>
      <c r="C53" s="39" t="inlineStr">
        <is>
          <t>Napoli</t>
        </is>
      </c>
      <c r="D53" s="40" t="n">
        <v>10</v>
      </c>
      <c r="E53" s="40" t="n">
        <v>47</v>
      </c>
      <c r="F53" s="39" t="inlineStr">
        <is>
          <t>Altissima</t>
        </is>
      </c>
      <c r="G53" s="39" t="inlineStr">
        <is>
          <t>No</t>
        </is>
      </c>
      <c r="H53" s="41" t="inlineStr">
        <is>
          <t>Sempre titolare</t>
        </is>
      </c>
      <c r="I53" s="40" t="n">
        <v>18</v>
      </c>
      <c r="J53" s="41" t="inlineStr">
        <is>
          <t>Garanzia di voti nel Napoli campione</t>
        </is>
      </c>
    </row>
    <row r="54">
      <c r="A54" s="42" t="n">
        <v>7</v>
      </c>
      <c r="B54" s="43" t="inlineStr">
        <is>
          <t>Saelemaekers</t>
        </is>
      </c>
      <c r="C54" s="35" t="inlineStr">
        <is>
          <t>Milan</t>
        </is>
      </c>
      <c r="D54" s="10" t="n">
        <v>10</v>
      </c>
      <c r="E54" s="10" t="n">
        <v>43</v>
      </c>
      <c r="F54" s="35" t="inlineStr">
        <is>
          <t>Altissima</t>
        </is>
      </c>
      <c r="G54" s="35" t="inlineStr">
        <is>
          <t>No</t>
        </is>
      </c>
      <c r="H54" s="36" t="inlineStr">
        <is>
          <t>Doppio ruolo E;W</t>
        </is>
      </c>
      <c r="I54" s="10" t="n">
        <v>18</v>
      </c>
      <c r="J54" s="36" t="inlineStr">
        <is>
          <t>Titolarissimo nel Milan di Amorim</t>
        </is>
      </c>
    </row>
    <row r="55">
      <c r="A55" s="37" t="n">
        <v>8</v>
      </c>
      <c r="B55" s="38" t="inlineStr">
        <is>
          <t>Zambo Anguissa</t>
        </is>
      </c>
      <c r="C55" s="39" t="inlineStr">
        <is>
          <t>Napoli</t>
        </is>
      </c>
      <c r="D55" s="40" t="n">
        <v>11</v>
      </c>
      <c r="E55" s="40" t="n">
        <v>54</v>
      </c>
      <c r="F55" s="39" t="inlineStr">
        <is>
          <t>Altissima</t>
        </is>
      </c>
      <c r="G55" s="39" t="inlineStr">
        <is>
          <t>No</t>
        </is>
      </c>
      <c r="H55" s="41" t="inlineStr">
        <is>
          <t>Inserimenti e gol</t>
        </is>
      </c>
      <c r="I55" s="40" t="n">
        <v>18</v>
      </c>
      <c r="J55" s="41" t="inlineStr">
        <is>
          <t>Fisicità dominante</t>
        </is>
      </c>
    </row>
    <row r="56">
      <c r="A56" s="42" t="n">
        <v>9</v>
      </c>
      <c r="B56" s="43" t="inlineStr">
        <is>
          <t>Rowe</t>
        </is>
      </c>
      <c r="C56" s="35" t="inlineStr">
        <is>
          <t>Bologna</t>
        </is>
      </c>
      <c r="D56" s="10" t="n">
        <v>11</v>
      </c>
      <c r="E56" s="10" t="n">
        <v>37</v>
      </c>
      <c r="F56" s="35" t="inlineStr">
        <is>
          <t>Alta</t>
        </is>
      </c>
      <c r="G56" s="35" t="inlineStr">
        <is>
          <t>No</t>
        </is>
      </c>
      <c r="H56" s="36" t="inlineStr">
        <is>
          <t>Strappi in velocità</t>
        </is>
      </c>
      <c r="I56" s="10" t="n">
        <v>16</v>
      </c>
      <c r="J56" s="36" t="inlineStr">
        <is>
          <t>Nuovo esterno del Bologna</t>
        </is>
      </c>
    </row>
    <row r="57">
      <c r="A57" s="37" t="n">
        <v>10</v>
      </c>
      <c r="B57" s="38" t="inlineStr">
        <is>
          <t>Baldanzi</t>
        </is>
      </c>
      <c r="C57" s="39" t="inlineStr">
        <is>
          <t>Genoa</t>
        </is>
      </c>
      <c r="D57" s="40" t="n">
        <v>11</v>
      </c>
      <c r="E57" s="40" t="n">
        <v>30</v>
      </c>
      <c r="F57" s="39" t="inlineStr">
        <is>
          <t>Alta</t>
        </is>
      </c>
      <c r="G57" s="39" t="inlineStr">
        <is>
          <t>No</t>
        </is>
      </c>
      <c r="H57" s="41" t="inlineStr">
        <is>
          <t>Gioca a ridosso della punta</t>
        </is>
      </c>
      <c r="I57" s="40" t="n">
        <v>14</v>
      </c>
      <c r="J57" s="41" t="inlineStr">
        <is>
          <t>LA scommessa del Genoa (FantaMaster) e n.1 PazziDiFanta: 1° sulle punizioni, titolare ~65% — BRUCIATO, budget su.</t>
        </is>
      </c>
    </row>
    <row r="58">
      <c r="A58" s="42" t="n">
        <v>11</v>
      </c>
      <c r="B58" s="43" t="inlineStr">
        <is>
          <t>McKennie</t>
        </is>
      </c>
      <c r="C58" s="35" t="inlineStr">
        <is>
          <t>Juventus</t>
        </is>
      </c>
      <c r="D58" s="10" t="n">
        <v>17</v>
      </c>
      <c r="E58" s="10" t="n">
        <v>68</v>
      </c>
      <c r="F58" s="35" t="inlineStr">
        <is>
          <t>Altissima</t>
        </is>
      </c>
      <c r="G58" s="35" t="inlineStr">
        <is>
          <t>No</t>
        </is>
      </c>
      <c r="H58" s="36" t="inlineStr">
        <is>
          <t>Jolly tuttofare</t>
        </is>
      </c>
      <c r="I58" s="10" t="n">
        <v>16</v>
      </c>
      <c r="J58" s="36" t="inlineStr">
        <is>
          <t>In corsa ovunque: 45/55 con Alajbegovic sulla trequarti e provato pure in regia. Titolarità probabile da qualche parte.</t>
        </is>
      </c>
    </row>
    <row r="59"/>
    <row r="60">
      <c r="A60" s="1" t="inlineStr">
        <is>
          <t>SLOT C5 — Jolly da bonus (cambi ruolo inclusi) · budget consigliato: 15</t>
        </is>
      </c>
    </row>
    <row r="61" ht="28" customHeight="1">
      <c r="A61" s="45" t="inlineStr">
        <is>
          <t>Priorità</t>
        </is>
      </c>
      <c r="B61" s="45" t="inlineStr">
        <is>
          <t>Giocatore</t>
        </is>
      </c>
      <c r="C61" s="45" t="inlineStr">
        <is>
          <t>Squadra</t>
        </is>
      </c>
      <c r="D61" s="45" t="inlineStr">
        <is>
          <t>Qt.A</t>
        </is>
      </c>
      <c r="E61" s="45" t="inlineStr">
        <is>
          <t>FVM</t>
        </is>
      </c>
      <c r="F61" s="45" t="inlineStr">
        <is>
          <t>Titolarità</t>
        </is>
      </c>
      <c r="G61" s="45" t="inlineStr">
        <is>
          <t>Rigorista</t>
        </is>
      </c>
      <c r="H61" s="45" t="inlineStr">
        <is>
          <t>Bonus attesi / punti di forza</t>
        </is>
      </c>
      <c r="I61" s="45" t="inlineStr">
        <is>
          <t>Prezzo max</t>
        </is>
      </c>
      <c r="J61" s="45" t="inlineStr">
        <is>
          <t>Note</t>
        </is>
      </c>
    </row>
    <row r="62">
      <c r="A62" s="16" t="n">
        <v>1</v>
      </c>
      <c r="B62" s="5" t="inlineStr">
        <is>
          <t>Pasalic</t>
        </is>
      </c>
      <c r="C62" s="35" t="inlineStr">
        <is>
          <t>Atalanta</t>
        </is>
      </c>
      <c r="D62" s="10" t="n">
        <v>9</v>
      </c>
      <c r="E62" s="10" t="n">
        <v>32</v>
      </c>
      <c r="F62" s="35" t="inlineStr">
        <is>
          <t>Alta</t>
        </is>
      </c>
      <c r="G62" s="35" t="inlineStr">
        <is>
          <t>No</t>
        </is>
      </c>
      <c r="H62" s="36" t="inlineStr">
        <is>
          <t>3 gol e 3 assist nel 25/26</t>
        </is>
      </c>
      <c r="I62" s="10" t="n">
        <v>15</v>
      </c>
      <c r="J62" s="36" t="inlineStr">
        <is>
          <t>Il più classico dei jolly a centrocampo</t>
        </is>
      </c>
    </row>
    <row r="63">
      <c r="A63" s="37" t="n">
        <v>2</v>
      </c>
      <c r="B63" s="38" t="inlineStr">
        <is>
          <t>Odgaard</t>
        </is>
      </c>
      <c r="C63" s="39" t="inlineStr">
        <is>
          <t>Bologna</t>
        </is>
      </c>
      <c r="D63" s="40" t="n">
        <v>8</v>
      </c>
      <c r="E63" s="40" t="n">
        <v>22</v>
      </c>
      <c r="F63" s="39" t="inlineStr">
        <is>
          <t>Alta</t>
        </is>
      </c>
      <c r="G63" s="39" t="inlineStr">
        <is>
          <t>No</t>
        </is>
      </c>
      <c r="H63" s="41" t="inlineStr">
        <is>
          <t>Trequartista da inserimento</t>
        </is>
      </c>
      <c r="I63" s="40" t="n">
        <v>14</v>
      </c>
      <c r="J63" s="41" t="inlineStr">
        <is>
          <t>Nel Bologna di Tedesco parte titolare</t>
        </is>
      </c>
    </row>
    <row r="64">
      <c r="A64" s="42" t="n">
        <v>3</v>
      </c>
      <c r="B64" s="43" t="inlineStr">
        <is>
          <t>Sucic P.</t>
        </is>
      </c>
      <c r="C64" s="35" t="inlineStr">
        <is>
          <t>Inter</t>
        </is>
      </c>
      <c r="D64" s="10" t="n">
        <v>8</v>
      </c>
      <c r="E64" s="10" t="n">
        <v>26</v>
      </c>
      <c r="F64" s="35" t="inlineStr">
        <is>
          <t>Alta</t>
        </is>
      </c>
      <c r="G64" s="35" t="inlineStr">
        <is>
          <t>No</t>
        </is>
      </c>
      <c r="H64" s="36" t="inlineStr">
        <is>
          <t>Bonus in crescita</t>
        </is>
      </c>
      <c r="I64" s="10" t="n">
        <v>13</v>
      </c>
      <c r="J64" s="36" t="inlineStr">
        <is>
          <t>Lo metti sempre, titolare o subentrante: Chivu ruota i tre di centrocampo</t>
        </is>
      </c>
    </row>
    <row r="65">
      <c r="A65" s="37" t="n">
        <v>4</v>
      </c>
      <c r="B65" s="38" t="inlineStr">
        <is>
          <t>Cambiaghi</t>
        </is>
      </c>
      <c r="C65" s="39" t="inlineStr">
        <is>
          <t>Bologna</t>
        </is>
      </c>
      <c r="D65" s="40" t="n">
        <v>8</v>
      </c>
      <c r="E65" s="40" t="n">
        <v>25</v>
      </c>
      <c r="F65" s="39" t="inlineStr">
        <is>
          <t>Alta</t>
        </is>
      </c>
      <c r="G65" s="39" t="inlineStr">
        <is>
          <t>No</t>
        </is>
      </c>
      <c r="H65" s="41" t="inlineStr">
        <is>
          <t>Cambio ruolo A→C</t>
        </is>
      </c>
      <c r="I65" s="40" t="n">
        <v>13</v>
      </c>
      <c r="J65" s="41" t="inlineStr">
        <is>
          <t>Cambio ruolo A→C il più vantaggioso del listone MA Rowe nettamente favorito (80/20): bonus da subentri.</t>
        </is>
      </c>
    </row>
    <row r="66">
      <c r="A66" s="42" t="n">
        <v>5</v>
      </c>
      <c r="B66" s="43" t="inlineStr">
        <is>
          <t>Bernardeschi</t>
        </is>
      </c>
      <c r="C66" s="35" t="inlineStr">
        <is>
          <t>Bologna</t>
        </is>
      </c>
      <c r="D66" s="10" t="n">
        <v>9</v>
      </c>
      <c r="E66" s="10" t="n">
        <v>21</v>
      </c>
      <c r="F66" s="35" t="inlineStr">
        <is>
          <t>Alta</t>
        </is>
      </c>
      <c r="G66" s="35" t="inlineStr">
        <is>
          <t>Alternativa</t>
        </is>
      </c>
      <c r="H66" s="36" t="inlineStr">
        <is>
          <t>Piazzati + vice-rigorista</t>
        </is>
      </c>
      <c r="I66" s="10" t="n">
        <v>12</v>
      </c>
      <c r="J66" s="36" t="inlineStr">
        <is>
          <t>Prima alternativa dal dischetto in casa Bologna</t>
        </is>
      </c>
    </row>
    <row r="67">
      <c r="A67" s="37" t="n">
        <v>6</v>
      </c>
      <c r="B67" s="38" t="inlineStr">
        <is>
          <t>Thorstvedt</t>
        </is>
      </c>
      <c r="C67" s="39" t="inlineStr">
        <is>
          <t>Sassuolo</t>
        </is>
      </c>
      <c r="D67" s="40" t="n">
        <v>10</v>
      </c>
      <c r="E67" s="40" t="n">
        <v>41</v>
      </c>
      <c r="F67" s="39" t="inlineStr">
        <is>
          <t>Altissima</t>
        </is>
      </c>
      <c r="G67" s="39" t="inlineStr">
        <is>
          <t>No</t>
        </is>
      </c>
      <c r="H67" s="41" t="inlineStr">
        <is>
          <t>5-6 gol in canna</t>
        </is>
      </c>
      <c r="I67" s="40" t="n">
        <v>14</v>
      </c>
      <c r="J67" s="41" t="inlineStr">
        <is>
          <t>Intoccabile nel Sassuolo: terzo slot ideale</t>
        </is>
      </c>
    </row>
    <row r="68">
      <c r="A68" s="42" t="n">
        <v>7</v>
      </c>
      <c r="B68" s="43" t="inlineStr">
        <is>
          <t>Zhegrova</t>
        </is>
      </c>
      <c r="C68" s="35" t="inlineStr">
        <is>
          <t>Juventus</t>
        </is>
      </c>
      <c r="D68" s="10" t="n">
        <v>6</v>
      </c>
      <c r="E68" s="10" t="n">
        <v>18</v>
      </c>
      <c r="F68" s="35" t="inlineStr">
        <is>
          <t>Ballottaggio</t>
        </is>
      </c>
      <c r="G68" s="35" t="inlineStr">
        <is>
          <t>No</t>
        </is>
      </c>
      <c r="H68" s="36" t="inlineStr">
        <is>
          <t>Strappi da bonus</t>
        </is>
      </c>
      <c r="I68" s="10" t="n">
        <v>10</v>
      </c>
      <c r="J68" s="36" t="inlineStr">
        <is>
          <t>Esubero (Trabzonspor/Besiktas, lui vuole restare): invariato, non investire.</t>
        </is>
      </c>
    </row>
    <row r="69">
      <c r="A69" s="37" t="n">
        <v>8</v>
      </c>
      <c r="B69" s="38" t="inlineStr">
        <is>
          <t>Ekkelenkamp</t>
        </is>
      </c>
      <c r="C69" s="39" t="inlineStr">
        <is>
          <t>Udinese</t>
        </is>
      </c>
      <c r="D69" s="40" t="n">
        <v>10</v>
      </c>
      <c r="E69" s="40" t="n">
        <v>41</v>
      </c>
      <c r="F69" s="39" t="inlineStr">
        <is>
          <t>Altissima</t>
        </is>
      </c>
      <c r="G69" s="39" t="inlineStr">
        <is>
          <t>No</t>
        </is>
      </c>
      <c r="H69" s="41" t="inlineStr">
        <is>
          <t>Da schierare sempre</t>
        </is>
      </c>
      <c r="I69" s="40" t="n">
        <v>14</v>
      </c>
      <c r="J69" s="41" t="inlineStr">
        <is>
          <t>A prescindere dal minutaggio, completa il centrocampo</t>
        </is>
      </c>
    </row>
    <row r="70">
      <c r="A70" s="42" t="n">
        <v>9</v>
      </c>
      <c r="B70" s="43" t="inlineStr">
        <is>
          <t>Casadei</t>
        </is>
      </c>
      <c r="C70" s="35" t="inlineStr">
        <is>
          <t>Torino</t>
        </is>
      </c>
      <c r="D70" s="10" t="n">
        <v>10</v>
      </c>
      <c r="E70" s="10" t="n">
        <v>37</v>
      </c>
      <c r="F70" s="35" t="inlineStr">
        <is>
          <t>Altissima</t>
        </is>
      </c>
      <c r="G70" s="35" t="inlineStr">
        <is>
          <t>No</t>
        </is>
      </c>
      <c r="H70" s="36" t="inlineStr">
        <is>
          <t>Inserimenti</t>
        </is>
      </c>
      <c r="I70" s="10" t="n">
        <v>13</v>
      </c>
      <c r="J70" s="36" t="inlineStr">
        <is>
          <t>Perno del Torino di Baroni</t>
        </is>
      </c>
    </row>
    <row r="71">
      <c r="A71" s="37" t="n">
        <v>10</v>
      </c>
      <c r="B71" s="38" t="inlineStr">
        <is>
          <t>Konè M.</t>
        </is>
      </c>
      <c r="C71" s="39" t="inlineStr">
        <is>
          <t>Roma</t>
        </is>
      </c>
      <c r="D71" s="40" t="n">
        <v>10</v>
      </c>
      <c r="E71" s="40" t="n">
        <v>42</v>
      </c>
      <c r="F71" s="39" t="inlineStr">
        <is>
          <t>Altissima</t>
        </is>
      </c>
      <c r="G71" s="39" t="inlineStr">
        <is>
          <t>No</t>
        </is>
      </c>
      <c r="H71" s="41" t="inlineStr">
        <is>
          <t>Voti costanti</t>
        </is>
      </c>
      <c r="I71" s="40" t="n">
        <v>13</v>
      </c>
      <c r="J71" s="41" t="inlineStr">
        <is>
          <t>Motore della Roma</t>
        </is>
      </c>
    </row>
    <row r="72">
      <c r="A72" s="42" t="n">
        <v>11</v>
      </c>
      <c r="B72" s="43" t="inlineStr">
        <is>
          <t>Pellegrini Lo.</t>
        </is>
      </c>
      <c r="C72" s="35" t="inlineStr">
        <is>
          <t>Roma</t>
        </is>
      </c>
      <c r="D72" s="10" t="n">
        <v>10</v>
      </c>
      <c r="E72" s="10" t="n">
        <v>28</v>
      </c>
      <c r="F72" s="35" t="inlineStr">
        <is>
          <t>Ballottaggio</t>
        </is>
      </c>
      <c r="G72" s="35" t="inlineStr">
        <is>
          <t>No</t>
        </is>
      </c>
      <c r="H72" s="36" t="inlineStr">
        <is>
          <t>Qualità nota</t>
        </is>
      </c>
      <c r="I72" s="10" t="n">
        <v>10</v>
      </c>
      <c r="J72" s="36" t="inlineStr">
        <is>
          <t>Con Gasperini deve riconquistarsi il posto</t>
        </is>
      </c>
    </row>
    <row r="73"/>
    <row r="74">
      <c r="A74" s="1" t="inlineStr">
        <is>
          <t>SLOT C6 — Titolare da buon voto · budget consigliato: 12</t>
        </is>
      </c>
    </row>
    <row r="75" ht="28" customHeight="1">
      <c r="A75" s="45" t="inlineStr">
        <is>
          <t>Priorità</t>
        </is>
      </c>
      <c r="B75" s="45" t="inlineStr">
        <is>
          <t>Giocatore</t>
        </is>
      </c>
      <c r="C75" s="45" t="inlineStr">
        <is>
          <t>Squadra</t>
        </is>
      </c>
      <c r="D75" s="45" t="inlineStr">
        <is>
          <t>Qt.A</t>
        </is>
      </c>
      <c r="E75" s="45" t="inlineStr">
        <is>
          <t>FVM</t>
        </is>
      </c>
      <c r="F75" s="45" t="inlineStr">
        <is>
          <t>Titolarità</t>
        </is>
      </c>
      <c r="G75" s="45" t="inlineStr">
        <is>
          <t>Rigorista</t>
        </is>
      </c>
      <c r="H75" s="45" t="inlineStr">
        <is>
          <t>Bonus attesi / punti di forza</t>
        </is>
      </c>
      <c r="I75" s="45" t="inlineStr">
        <is>
          <t>Prezzo max</t>
        </is>
      </c>
      <c r="J75" s="45" t="inlineStr">
        <is>
          <t>Note</t>
        </is>
      </c>
    </row>
    <row r="76">
      <c r="A76" s="16" t="n">
        <v>1</v>
      </c>
      <c r="B76" s="5" t="inlineStr">
        <is>
          <t>Thorstvedt</t>
        </is>
      </c>
      <c r="C76" s="35" t="inlineStr">
        <is>
          <t>Sassuolo</t>
        </is>
      </c>
      <c r="D76" s="10" t="n">
        <v>10</v>
      </c>
      <c r="E76" s="10" t="n">
        <v>41</v>
      </c>
      <c r="F76" s="35" t="inlineStr">
        <is>
          <t>Altissima</t>
        </is>
      </c>
      <c r="G76" s="35" t="inlineStr">
        <is>
          <t>No</t>
        </is>
      </c>
      <c r="H76" s="36" t="inlineStr">
        <is>
          <t>5-6 gol</t>
        </is>
      </c>
      <c r="I76" s="10" t="n">
        <v>14</v>
      </c>
      <c r="J76" s="36" t="inlineStr">
        <is>
          <t>Se non preso come C5</t>
        </is>
      </c>
    </row>
    <row r="77">
      <c r="A77" s="37" t="n">
        <v>2</v>
      </c>
      <c r="B77" s="38" t="inlineStr">
        <is>
          <t>Ekkelenkamp</t>
        </is>
      </c>
      <c r="C77" s="39" t="inlineStr">
        <is>
          <t>Udinese</t>
        </is>
      </c>
      <c r="D77" s="40" t="n">
        <v>10</v>
      </c>
      <c r="E77" s="40" t="n">
        <v>41</v>
      </c>
      <c r="F77" s="39" t="inlineStr">
        <is>
          <t>Altissima</t>
        </is>
      </c>
      <c r="G77" s="39" t="inlineStr">
        <is>
          <t>No</t>
        </is>
      </c>
      <c r="H77" s="41" t="inlineStr">
        <is>
          <t>Buon voto garantito</t>
        </is>
      </c>
      <c r="I77" s="40" t="n">
        <v>14</v>
      </c>
      <c r="J77" s="41" t="inlineStr">
        <is>
          <t>Più minutaggio con l'addio di Atta, accanto a Zaniolo; 1 giallo in 31: pulito.</t>
        </is>
      </c>
    </row>
    <row r="78">
      <c r="A78" s="42" t="n">
        <v>3</v>
      </c>
      <c r="B78" s="43" t="inlineStr">
        <is>
          <t>Mandragora</t>
        </is>
      </c>
      <c r="C78" s="35" t="inlineStr">
        <is>
          <t>Fiorentina</t>
        </is>
      </c>
      <c r="D78" s="10" t="n">
        <v>9</v>
      </c>
      <c r="E78" s="10" t="n">
        <v>28</v>
      </c>
      <c r="F78" s="35" t="inlineStr">
        <is>
          <t>In dubbio (schiena)</t>
        </is>
      </c>
      <c r="G78" s="35" t="inlineStr">
        <is>
          <t>Alternativa</t>
        </is>
      </c>
      <c r="H78" s="36" t="inlineStr">
        <is>
          <t>Spesso sottovalutato</t>
        </is>
      </c>
      <c r="I78" s="10" t="n">
        <v>12</v>
      </c>
      <c r="J78" s="36" t="inlineStr">
        <is>
          <t>In dubbio per la 1ª E recidivo dei cartellini (7 gialli nel 25/26 e nel 24/25): doppio malus.</t>
        </is>
      </c>
    </row>
    <row r="79">
      <c r="A79" s="37" t="n">
        <v>4</v>
      </c>
      <c r="B79" s="38" t="inlineStr">
        <is>
          <t>Ndour</t>
        </is>
      </c>
      <c r="C79" s="39" t="inlineStr">
        <is>
          <t>Fiorentina</t>
        </is>
      </c>
      <c r="D79" s="40" t="n">
        <v>8</v>
      </c>
      <c r="E79" s="40" t="n">
        <v>25</v>
      </c>
      <c r="F79" s="39" t="inlineStr">
        <is>
          <t>Alta</t>
        </is>
      </c>
      <c r="G79" s="39" t="inlineStr">
        <is>
          <t>No</t>
        </is>
      </c>
      <c r="H79" s="41" t="inlineStr">
        <is>
          <t>Può esplodere definitivamente</t>
        </is>
      </c>
      <c r="I79" s="40" t="n">
        <v>11</v>
      </c>
      <c r="J79" s="41" t="inlineStr">
        <is>
          <t>Triplo hit consigli (FantaMaster, PazziDiFanta, Goal): titolare nella mediana di Grosso.</t>
        </is>
      </c>
    </row>
    <row r="80">
      <c r="A80" s="42" t="n">
        <v>5</v>
      </c>
      <c r="B80" s="43" t="inlineStr">
        <is>
          <t>Konè M.</t>
        </is>
      </c>
      <c r="C80" s="35" t="inlineStr">
        <is>
          <t>Roma</t>
        </is>
      </c>
      <c r="D80" s="10" t="n">
        <v>10</v>
      </c>
      <c r="E80" s="10" t="n">
        <v>42</v>
      </c>
      <c r="F80" s="35" t="inlineStr">
        <is>
          <t>Altissima</t>
        </is>
      </c>
      <c r="G80" s="35" t="inlineStr">
        <is>
          <t>No</t>
        </is>
      </c>
      <c r="H80" s="36" t="inlineStr">
        <is>
          <t>Roma</t>
        </is>
      </c>
      <c r="I80" s="10" t="n">
        <v>13</v>
      </c>
      <c r="J80" s="36" t="inlineStr">
        <is>
          <t>Se non preso come C5</t>
        </is>
      </c>
    </row>
    <row r="81">
      <c r="A81" s="37" t="n">
        <v>6</v>
      </c>
      <c r="B81" s="38" t="inlineStr">
        <is>
          <t>Casadei</t>
        </is>
      </c>
      <c r="C81" s="39" t="inlineStr">
        <is>
          <t>Torino</t>
        </is>
      </c>
      <c r="D81" s="40" t="n">
        <v>10</v>
      </c>
      <c r="E81" s="40" t="n">
        <v>37</v>
      </c>
      <c r="F81" s="39" t="inlineStr">
        <is>
          <t>Altissima</t>
        </is>
      </c>
      <c r="G81" s="39" t="inlineStr">
        <is>
          <t>No</t>
        </is>
      </c>
      <c r="H81" s="41" t="inlineStr">
        <is>
          <t>Torino</t>
        </is>
      </c>
      <c r="I81" s="40" t="n">
        <v>13</v>
      </c>
      <c r="J81" s="41" t="inlineStr">
        <is>
          <t>Se non preso come C5</t>
        </is>
      </c>
    </row>
    <row r="82">
      <c r="A82" s="42" t="n">
        <v>7</v>
      </c>
      <c r="B82" s="43" t="inlineStr">
        <is>
          <t>Perrone</t>
        </is>
      </c>
      <c r="C82" s="35" t="inlineStr">
        <is>
          <t>Como</t>
        </is>
      </c>
      <c r="D82" s="10" t="n">
        <v>10</v>
      </c>
      <c r="E82" s="10" t="n">
        <v>38</v>
      </c>
      <c r="F82" s="35" t="inlineStr">
        <is>
          <t>Altissima</t>
        </is>
      </c>
      <c r="G82" s="35" t="inlineStr">
        <is>
          <t>No</t>
        </is>
      </c>
      <c r="H82" s="36" t="inlineStr">
        <is>
          <t>Regista del Como</t>
        </is>
      </c>
      <c r="I82" s="10" t="n">
        <v>11</v>
      </c>
      <c r="J82" s="36" t="inlineStr">
        <is>
          <t>Sempre in campo con Fabregas</t>
        </is>
      </c>
    </row>
    <row r="83">
      <c r="A83" s="37" t="n">
        <v>8</v>
      </c>
      <c r="B83" s="38" t="inlineStr">
        <is>
          <t>Berisha M.</t>
        </is>
      </c>
      <c r="C83" s="39" t="inlineStr">
        <is>
          <t>Lecce</t>
        </is>
      </c>
      <c r="D83" s="40" t="n">
        <v>5</v>
      </c>
      <c r="E83" s="40" t="n">
        <v>16</v>
      </c>
      <c r="F83" s="39" t="inlineStr">
        <is>
          <t>Altissima</t>
        </is>
      </c>
      <c r="G83" s="39" t="inlineStr">
        <is>
          <t>Possibile</t>
        </is>
      </c>
      <c r="H83" s="41" t="inlineStr">
        <is>
          <t>Batte tutti i piazzati del Lecce</t>
        </is>
      </c>
      <c r="I83" s="40" t="n">
        <v>10</v>
      </c>
      <c r="J83" s="41" t="inlineStr">
        <is>
          <t>Il faro del Lecce: potrebbe battere anche i rigori</t>
        </is>
      </c>
    </row>
    <row r="84">
      <c r="A84" s="42" t="n">
        <v>9</v>
      </c>
      <c r="B84" s="43" t="inlineStr">
        <is>
          <t>Karlstrom</t>
        </is>
      </c>
      <c r="C84" s="35" t="inlineStr">
        <is>
          <t>Udinese</t>
        </is>
      </c>
      <c r="D84" s="10" t="n">
        <v>6</v>
      </c>
      <c r="E84" s="10" t="n">
        <v>20</v>
      </c>
      <c r="F84" s="35" t="inlineStr">
        <is>
          <t>Altissima</t>
        </is>
      </c>
      <c r="G84" s="35" t="inlineStr">
        <is>
          <t>No</t>
        </is>
      </c>
      <c r="H84" s="36" t="inlineStr">
        <is>
          <t>Certezza di titolarità</t>
        </is>
      </c>
      <c r="I84" s="10" t="n">
        <v>8</v>
      </c>
      <c r="J84" s="36" t="inlineStr">
        <is>
          <t>Sempre in campo nell'Udinese</t>
        </is>
      </c>
    </row>
    <row r="85">
      <c r="A85" s="37" t="n">
        <v>10</v>
      </c>
      <c r="B85" s="38" t="inlineStr">
        <is>
          <t>Keita M.</t>
        </is>
      </c>
      <c r="C85" s="39" t="inlineStr">
        <is>
          <t>Parma</t>
        </is>
      </c>
      <c r="D85" s="40" t="n">
        <v>5</v>
      </c>
      <c r="E85" s="40" t="n">
        <v>15</v>
      </c>
      <c r="F85" s="39" t="inlineStr">
        <is>
          <t>Altissima</t>
        </is>
      </c>
      <c r="G85" s="39" t="inlineStr">
        <is>
          <t>No</t>
        </is>
      </c>
      <c r="H85" s="41" t="inlineStr">
        <is>
          <t>Certezza di titolarità</t>
        </is>
      </c>
      <c r="I85" s="40" t="n">
        <v>8</v>
      </c>
      <c r="J85" s="41" t="inlineStr">
        <is>
          <t>Titolare inamovibile accanto a Bernabè, MV 6,01 e 1 SOLO giallo in 37 presenze: il mediano fairplay perfetto.</t>
        </is>
      </c>
    </row>
    <row r="86">
      <c r="A86" s="42" t="n">
        <v>11</v>
      </c>
      <c r="B86" s="43" t="inlineStr">
        <is>
          <t>Moro N.</t>
        </is>
      </c>
      <c r="C86" s="35" t="inlineStr">
        <is>
          <t>Bologna</t>
        </is>
      </c>
      <c r="D86" s="10" t="n">
        <v>4</v>
      </c>
      <c r="E86" s="10" t="n">
        <v>10</v>
      </c>
      <c r="F86" s="35" t="inlineStr">
        <is>
          <t>Alta</t>
        </is>
      </c>
      <c r="G86" s="35" t="inlineStr">
        <is>
          <t>No</t>
        </is>
      </c>
      <c r="H86" s="36" t="inlineStr">
        <is>
          <t>Giocherà parecchio</t>
        </is>
      </c>
      <c r="I86" s="10" t="n">
        <v>6</v>
      </c>
      <c r="J86" s="36" t="inlineStr">
        <is>
          <t>Nel Bologna avrà tanto spazio quest'anno</t>
        </is>
      </c>
    </row>
    <row r="87"/>
    <row r="88">
      <c r="A88" s="1" t="inlineStr">
        <is>
          <t>SLOT C7 — Low cost titolare / piazzati · budget consigliato: 8</t>
        </is>
      </c>
    </row>
    <row r="89" ht="28" customHeight="1">
      <c r="A89" s="45" t="inlineStr">
        <is>
          <t>Priorità</t>
        </is>
      </c>
      <c r="B89" s="45" t="inlineStr">
        <is>
          <t>Giocatore</t>
        </is>
      </c>
      <c r="C89" s="45" t="inlineStr">
        <is>
          <t>Squadra</t>
        </is>
      </c>
      <c r="D89" s="45" t="inlineStr">
        <is>
          <t>Qt.A</t>
        </is>
      </c>
      <c r="E89" s="45" t="inlineStr">
        <is>
          <t>FVM</t>
        </is>
      </c>
      <c r="F89" s="45" t="inlineStr">
        <is>
          <t>Titolarità</t>
        </is>
      </c>
      <c r="G89" s="45" t="inlineStr">
        <is>
          <t>Rigorista</t>
        </is>
      </c>
      <c r="H89" s="45" t="inlineStr">
        <is>
          <t>Bonus attesi / punti di forza</t>
        </is>
      </c>
      <c r="I89" s="45" t="inlineStr">
        <is>
          <t>Prezzo max</t>
        </is>
      </c>
      <c r="J89" s="45" t="inlineStr">
        <is>
          <t>Note</t>
        </is>
      </c>
    </row>
    <row r="90">
      <c r="A90" s="16" t="n">
        <v>1</v>
      </c>
      <c r="B90" s="5" t="inlineStr">
        <is>
          <t>Calò</t>
        </is>
      </c>
      <c r="C90" s="35" t="inlineStr">
        <is>
          <t>Frosinone</t>
        </is>
      </c>
      <c r="D90" s="10" t="n">
        <v>7</v>
      </c>
      <c r="E90" s="10" t="n">
        <v>25</v>
      </c>
      <c r="F90" s="35" t="inlineStr">
        <is>
          <t>Altissima</t>
        </is>
      </c>
      <c r="G90" s="35" t="inlineStr">
        <is>
          <t>Sì (5/5 in B)</t>
        </is>
      </c>
      <c r="H90" s="36" t="inlineStr">
        <is>
          <t>10 gol + 14 assist in B, rigori e TUTTI i piazzati</t>
        </is>
      </c>
      <c r="I90" s="10" t="n">
        <v>15</v>
      </c>
      <c r="J90" s="36" t="inlineStr">
        <is>
          <t>Tiratore unico del Frosinone (4-3-3 confermato) e rigorista. Sky avverte: 'bonus ridotti in A' — resta il low cost d'oro, senza esagerare.</t>
        </is>
      </c>
    </row>
    <row r="91">
      <c r="A91" s="37" t="n">
        <v>2</v>
      </c>
      <c r="B91" s="38" t="inlineStr">
        <is>
          <t>Berisha M.</t>
        </is>
      </c>
      <c r="C91" s="39" t="inlineStr">
        <is>
          <t>Lecce</t>
        </is>
      </c>
      <c r="D91" s="40" t="n">
        <v>5</v>
      </c>
      <c r="E91" s="40" t="n">
        <v>16</v>
      </c>
      <c r="F91" s="39" t="inlineStr">
        <is>
          <t>Altissima</t>
        </is>
      </c>
      <c r="G91" s="39" t="inlineStr">
        <is>
          <t>Possibile</t>
        </is>
      </c>
      <c r="H91" s="41" t="inlineStr">
        <is>
          <t>Piazzati Lecce</t>
        </is>
      </c>
      <c r="I91" s="40" t="n">
        <v>10</v>
      </c>
      <c r="J91" s="41" t="inlineStr">
        <is>
          <t>Se non preso come C6</t>
        </is>
      </c>
    </row>
    <row r="92">
      <c r="A92" s="42" t="n">
        <v>3</v>
      </c>
      <c r="B92" s="43" t="inlineStr">
        <is>
          <t>Frattesi</t>
        </is>
      </c>
      <c r="C92" s="35" t="inlineStr">
        <is>
          <t>Inter</t>
        </is>
      </c>
      <c r="D92" s="10" t="n">
        <v>7</v>
      </c>
      <c r="E92" s="10" t="n">
        <v>13</v>
      </c>
      <c r="F92" s="35" t="inlineStr">
        <is>
          <t>Firma Lazio il 15/8</t>
        </is>
      </c>
      <c r="G92" s="35" t="inlineStr">
        <is>
          <t>No</t>
        </is>
      </c>
      <c r="H92" s="36" t="inlineStr">
        <is>
          <t>Mezzala titolare di Gattuso</t>
        </is>
      </c>
      <c r="I92" s="10" t="n">
        <v>12</v>
      </c>
      <c r="J92" s="36" t="inlineStr">
        <is>
          <t>Sbloccato il 14/8 (prestito 5M + diritto 10M) dopo lo stop della Lega: visite sabato. Mezzala di Gattuso, ballottaggio iniziale con Dele-Bashiru: comprare la notizia senza strapagare.</t>
        </is>
      </c>
    </row>
    <row r="93">
      <c r="A93" s="37" t="n">
        <v>4</v>
      </c>
      <c r="B93" s="38" t="inlineStr">
        <is>
          <t>Samardzic</t>
        </is>
      </c>
      <c r="C93" s="39" t="inlineStr">
        <is>
          <t>Atalanta</t>
        </is>
      </c>
      <c r="D93" s="40" t="n">
        <v>12</v>
      </c>
      <c r="E93" s="40" t="n">
        <v>42</v>
      </c>
      <c r="F93" s="39" t="inlineStr">
        <is>
          <t>Alta (Sarri lo esalta)</t>
        </is>
      </c>
      <c r="G93" s="39" t="inlineStr">
        <is>
          <t>2/2 (in corsa)</t>
        </is>
      </c>
      <c r="H93" s="41" t="inlineStr">
        <is>
          <t>1° tiratore punizioni E corner della Dea</t>
        </is>
      </c>
      <c r="I93" s="40" t="n">
        <v>25</v>
      </c>
      <c r="J93" s="41" t="inlineStr">
        <is>
          <t>Non più sleeper: è un acquisto da fascia. Piazzati + fairplay pulito.</t>
        </is>
      </c>
    </row>
    <row r="94">
      <c r="A94" s="42" t="n">
        <v>5</v>
      </c>
      <c r="B94" s="43" t="inlineStr">
        <is>
          <t>Bernabè</t>
        </is>
      </c>
      <c r="C94" s="35" t="inlineStr">
        <is>
          <t>Parma</t>
        </is>
      </c>
      <c r="D94" s="10" t="n">
        <v>7</v>
      </c>
      <c r="E94" s="10" t="n">
        <v>36</v>
      </c>
      <c r="F94" s="35" t="inlineStr">
        <is>
          <t>Altissima</t>
        </is>
      </c>
      <c r="G94" s="35" t="inlineStr">
        <is>
          <t>Alternativa</t>
        </is>
      </c>
      <c r="H94" s="36" t="inlineStr">
        <is>
          <t>Piazzati + possibili rigori</t>
        </is>
      </c>
      <c r="I94" s="10" t="n">
        <v>10</v>
      </c>
      <c r="J94" s="36" t="inlineStr">
        <is>
          <t>Nel Parma può ereditare i rigori se parte Pellegrino</t>
        </is>
      </c>
    </row>
    <row r="95">
      <c r="A95" s="37" t="n">
        <v>6</v>
      </c>
      <c r="B95" s="38" t="inlineStr">
        <is>
          <t>Perez K.</t>
        </is>
      </c>
      <c r="C95" s="39" t="inlineStr">
        <is>
          <t>Venezia</t>
        </is>
      </c>
      <c r="D95" s="40" t="n">
        <v>5</v>
      </c>
      <c r="E95" s="40" t="n">
        <v>14</v>
      </c>
      <c r="F95" s="39" t="inlineStr">
        <is>
          <t>Ballottaggio Sohm</t>
        </is>
      </c>
      <c r="G95" s="39" t="inlineStr">
        <is>
          <t>No</t>
        </is>
      </c>
      <c r="H95" s="41" t="inlineStr">
        <is>
          <t>Qualità nel Venezia</t>
        </is>
      </c>
      <c r="I95" s="40" t="n">
        <v>3</v>
      </c>
      <c r="J95" s="41" t="inlineStr">
        <is>
          <t>Sky lo promuove: specialista di angoli e punizioni (3 gol + 7 assist in B). A 1-2 è un furto se parte titolare.</t>
        </is>
      </c>
    </row>
    <row r="96">
      <c r="A96" s="42" t="n">
        <v>7</v>
      </c>
      <c r="B96" s="43" t="inlineStr">
        <is>
          <t>Milla</t>
        </is>
      </c>
      <c r="C96" s="35" t="inlineStr">
        <is>
          <t>Como</t>
        </is>
      </c>
      <c r="D96" s="10" t="n">
        <v>5</v>
      </c>
      <c r="E96" s="10" t="n">
        <v>14</v>
      </c>
      <c r="F96" s="35" t="inlineStr">
        <is>
          <t>Alta</t>
        </is>
      </c>
      <c r="G96" s="35" t="inlineStr">
        <is>
          <t>No</t>
        </is>
      </c>
      <c r="H96" s="36" t="inlineStr">
        <is>
          <t>Lo ha voluto Fabregas</t>
        </is>
      </c>
      <c r="I96" s="10" t="n">
        <v>7</v>
      </c>
      <c r="J96" s="36" t="inlineStr">
        <is>
          <t>Attenzione: nel Como può ritagliarsi spazio da subito</t>
        </is>
      </c>
    </row>
    <row r="97">
      <c r="A97" s="37" t="n">
        <v>8</v>
      </c>
      <c r="B97" s="38" t="inlineStr">
        <is>
          <t>Basic</t>
        </is>
      </c>
      <c r="C97" s="39" t="inlineStr">
        <is>
          <t>Venezia</t>
        </is>
      </c>
      <c r="D97" s="40" t="n">
        <v>6</v>
      </c>
      <c r="E97" s="40" t="n">
        <v>19</v>
      </c>
      <c r="F97" s="39" t="inlineStr">
        <is>
          <t>Altissima</t>
        </is>
      </c>
      <c r="G97" s="39" t="inlineStr">
        <is>
          <t>No</t>
        </is>
      </c>
      <c r="H97" s="41" t="inlineStr">
        <is>
          <t>Da bonus tra le neopromosse</t>
        </is>
      </c>
      <c r="I97" s="40" t="n">
        <v>7</v>
      </c>
      <c r="J97" s="41" t="inlineStr">
        <is>
          <t>Titolare nel Venezia, tiro da fuori</t>
        </is>
      </c>
    </row>
    <row r="98">
      <c r="A98" s="42" t="n">
        <v>9</v>
      </c>
      <c r="B98" s="43" t="inlineStr">
        <is>
          <t>Fazzini</t>
        </is>
      </c>
      <c r="C98" s="35" t="inlineStr">
        <is>
          <t>Cagliari</t>
        </is>
      </c>
      <c r="D98" s="10" t="n">
        <v>7</v>
      </c>
      <c r="E98" s="10" t="n">
        <v>19</v>
      </c>
      <c r="F98" s="35" t="inlineStr">
        <is>
          <t>Titolare</t>
        </is>
      </c>
      <c r="G98" s="35" t="inlineStr">
        <is>
          <t>No</t>
        </is>
      </c>
      <c r="H98" s="36" t="inlineStr">
        <is>
          <t>Punizioni e corner del Cagliari</t>
        </is>
      </c>
      <c r="I98" s="10" t="n">
        <v>10</v>
      </c>
      <c r="J98" s="36" t="inlineStr">
        <is>
          <t>Titolare confermato ovunque ('libertà di svariare'): piazzati sì, rigori verso Kevin Carlos/Maldini.</t>
        </is>
      </c>
    </row>
    <row r="99">
      <c r="A99" s="37" t="n">
        <v>10</v>
      </c>
      <c r="B99" s="38" t="inlineStr">
        <is>
          <t>Busio</t>
        </is>
      </c>
      <c r="C99" s="39" t="inlineStr">
        <is>
          <t>Venezia</t>
        </is>
      </c>
      <c r="D99" s="40" t="n">
        <v>5</v>
      </c>
      <c r="E99" s="40" t="n">
        <v>14</v>
      </c>
      <c r="F99" s="39" t="inlineStr">
        <is>
          <t>Altissima</t>
        </is>
      </c>
      <c r="G99" s="39" t="inlineStr">
        <is>
          <t>No</t>
        </is>
      </c>
      <c r="H99" s="41" t="inlineStr">
        <is>
          <t>Torna in A con più esperienza</t>
        </is>
      </c>
      <c r="I99" s="40" t="n">
        <v>7</v>
      </c>
      <c r="J99" s="41" t="inlineStr">
        <is>
          <t>Perno del centrocampo del Venezia</t>
        </is>
      </c>
    </row>
    <row r="100">
      <c r="A100" s="42" t="n">
        <v>11</v>
      </c>
      <c r="B100" s="43" t="inlineStr">
        <is>
          <t>Keita M.</t>
        </is>
      </c>
      <c r="C100" s="35" t="inlineStr">
        <is>
          <t>Parma</t>
        </is>
      </c>
      <c r="D100" s="10" t="n">
        <v>5</v>
      </c>
      <c r="E100" s="10" t="n">
        <v>15</v>
      </c>
      <c r="F100" s="35" t="inlineStr">
        <is>
          <t>Altissima</t>
        </is>
      </c>
      <c r="G100" s="35" t="inlineStr">
        <is>
          <t>No</t>
        </is>
      </c>
      <c r="H100" s="36" t="inlineStr">
        <is>
          <t>Parma</t>
        </is>
      </c>
      <c r="I100" s="10" t="n">
        <v>8</v>
      </c>
      <c r="J100" s="36" t="inlineStr">
        <is>
          <t>Se non preso come C6</t>
        </is>
      </c>
    </row>
    <row r="101">
      <c r="A101" t="n">
        <v>12</v>
      </c>
      <c r="B101" t="inlineStr">
        <is>
          <t>Pessina</t>
        </is>
      </c>
      <c r="C101" t="inlineStr">
        <is>
          <t>Monza</t>
        </is>
      </c>
      <c r="D101" t="n">
        <v>7</v>
      </c>
      <c r="E101" t="n">
        <v>20</v>
      </c>
      <c r="F101" t="inlineStr">
        <is>
          <t>OUT (operato)</t>
        </is>
      </c>
      <c r="G101" t="inlineStr">
        <is>
          <t>No (era 16/17)</t>
        </is>
      </c>
      <c r="H101" t="inlineStr">
        <is>
          <t>Rigorista del Monza</t>
        </is>
      </c>
      <c r="I101" t="n">
        <v>1</v>
      </c>
      <c r="J101" t="inlineStr">
        <is>
          <t>Lussazione della rotula, operato: 2-3 mesi. DEPENNARE. I rigori del Monza passano a Cutrone.</t>
        </is>
      </c>
    </row>
    <row r="102">
      <c r="A102" s="1" t="n">
        <v>13</v>
      </c>
      <c r="B102" t="inlineStr">
        <is>
          <t>Karlstrom</t>
        </is>
      </c>
      <c r="C102" t="inlineStr">
        <is>
          <t>Udinese</t>
        </is>
      </c>
      <c r="D102" t="n">
        <v>6</v>
      </c>
      <c r="E102" t="n">
        <v>20</v>
      </c>
      <c r="F102" t="inlineStr">
        <is>
          <t>Altissima</t>
        </is>
      </c>
      <c r="G102" t="inlineStr">
        <is>
          <t>No</t>
        </is>
      </c>
      <c r="H102" t="inlineStr">
        <is>
          <t>Udinese</t>
        </is>
      </c>
      <c r="I102" t="n">
        <v>8</v>
      </c>
      <c r="J102" t="inlineStr">
        <is>
          <t>Se non preso come C6</t>
        </is>
      </c>
    </row>
    <row r="103" ht="28" customHeight="1">
      <c r="A103" s="45" t="n">
        <v>14</v>
      </c>
      <c r="B103" s="45" t="inlineStr">
        <is>
          <t>Traorè Hj.</t>
        </is>
      </c>
      <c r="C103" s="45" t="inlineStr">
        <is>
          <t>Genoa</t>
        </is>
      </c>
      <c r="D103" s="45" t="n">
        <v>5</v>
      </c>
      <c r="E103" s="45" t="n">
        <v>11</v>
      </c>
      <c r="F103" s="45" t="inlineStr">
        <is>
          <t>Alta</t>
        </is>
      </c>
      <c r="G103" s="45" t="inlineStr">
        <is>
          <t>No</t>
        </is>
      </c>
      <c r="H103" s="45" t="inlineStr">
        <is>
          <t>Ha già dimostrato in A</t>
        </is>
      </c>
      <c r="I103" s="45" t="n">
        <v>6</v>
      </c>
      <c r="J103" s="45" t="inlineStr">
        <is>
          <t>Al Genoa di De Rossi può tornare giocatore da fanta</t>
        </is>
      </c>
    </row>
    <row r="104">
      <c r="A104" s="16" t="n"/>
      <c r="B104" s="5" t="n"/>
      <c r="C104" s="35" t="n"/>
      <c r="D104" s="10" t="n"/>
      <c r="E104" s="10" t="n"/>
      <c r="F104" s="35" t="n"/>
      <c r="G104" s="35" t="n"/>
      <c r="H104" s="36" t="n"/>
      <c r="I104" s="10" t="n"/>
      <c r="J104" s="36" t="n"/>
    </row>
    <row r="105">
      <c r="A105" s="55" t="inlineStr">
        <is>
          <t>SLOT C8 — Scommessa a 1-5 · budget consigliato: 5</t>
        </is>
      </c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7" t="n"/>
    </row>
    <row r="106">
      <c r="A106" s="13" t="inlineStr">
        <is>
          <t>Priorità</t>
        </is>
      </c>
      <c r="B106" s="61" t="inlineStr">
        <is>
          <t>Giocatore</t>
        </is>
      </c>
      <c r="C106" s="13" t="inlineStr">
        <is>
          <t>Squadra</t>
        </is>
      </c>
      <c r="D106" s="62" t="inlineStr">
        <is>
          <t>Qt.A</t>
        </is>
      </c>
      <c r="E106" s="62" t="inlineStr">
        <is>
          <t>FVM</t>
        </is>
      </c>
      <c r="F106" s="13" t="inlineStr">
        <is>
          <t>Titolarità</t>
        </is>
      </c>
      <c r="G106" s="13" t="inlineStr">
        <is>
          <t>Rigorista</t>
        </is>
      </c>
      <c r="H106" s="63" t="inlineStr">
        <is>
          <t>Bonus attesi / punti di forza</t>
        </is>
      </c>
      <c r="I106" s="62" t="inlineStr">
        <is>
          <t>Prezzo max</t>
        </is>
      </c>
      <c r="J106" s="63" t="inlineStr">
        <is>
          <t>Note</t>
        </is>
      </c>
    </row>
    <row r="107">
      <c r="A107" s="37" t="n">
        <v>1</v>
      </c>
      <c r="B107" s="38" t="inlineStr">
        <is>
          <t>Koutsoupias</t>
        </is>
      </c>
      <c r="C107" s="39" t="inlineStr">
        <is>
          <t>Frosinone</t>
        </is>
      </c>
      <c r="D107" s="40" t="n">
        <v>4</v>
      </c>
      <c r="E107" s="40" t="n">
        <v>12</v>
      </c>
      <c r="F107" s="39" t="inlineStr">
        <is>
          <t>Alta</t>
        </is>
      </c>
      <c r="G107" s="39" t="inlineStr">
        <is>
          <t>No</t>
        </is>
      </c>
      <c r="H107" s="41" t="inlineStr">
        <is>
          <t>Gol e fisicità in B</t>
        </is>
      </c>
      <c r="I107" s="40" t="n">
        <v>5</v>
      </c>
      <c r="J107" s="41" t="inlineStr">
        <is>
          <t>Colpo a 1-4 tra le neopromosse: giocherà tanto ed è da bonus</t>
        </is>
      </c>
    </row>
    <row r="108">
      <c r="A108" s="42" t="n">
        <v>2</v>
      </c>
      <c r="B108" s="43" t="inlineStr">
        <is>
          <t>Moro N.</t>
        </is>
      </c>
      <c r="C108" s="35" t="inlineStr">
        <is>
          <t>Bologna</t>
        </is>
      </c>
      <c r="D108" s="10" t="n">
        <v>4</v>
      </c>
      <c r="E108" s="10" t="n">
        <v>10</v>
      </c>
      <c r="F108" s="35" t="inlineStr">
        <is>
          <t>Alta</t>
        </is>
      </c>
      <c r="G108" s="35" t="inlineStr">
        <is>
          <t>No</t>
        </is>
      </c>
      <c r="H108" s="36" t="inlineStr">
        <is>
          <t>Spazio nel Bologna</t>
        </is>
      </c>
      <c r="I108" s="10" t="n">
        <v>6</v>
      </c>
      <c r="J108" s="36" t="inlineStr">
        <is>
          <t>Se non preso come C6</t>
        </is>
      </c>
    </row>
    <row r="109">
      <c r="A109" s="37" t="n">
        <v>3</v>
      </c>
      <c r="B109" s="38" t="inlineStr">
        <is>
          <t>Traorè Hj.</t>
        </is>
      </c>
      <c r="C109" s="39" t="inlineStr">
        <is>
          <t>Genoa</t>
        </is>
      </c>
      <c r="D109" s="40" t="n">
        <v>5</v>
      </c>
      <c r="E109" s="40" t="n">
        <v>11</v>
      </c>
      <c r="F109" s="39" t="inlineStr">
        <is>
          <t>Alta</t>
        </is>
      </c>
      <c r="G109" s="39" t="inlineStr">
        <is>
          <t>No</t>
        </is>
      </c>
      <c r="H109" s="41" t="inlineStr">
        <is>
          <t>Genoa</t>
        </is>
      </c>
      <c r="I109" s="40" t="n">
        <v>6</v>
      </c>
      <c r="J109" s="41" t="inlineStr">
        <is>
          <t>Se non preso come C7</t>
        </is>
      </c>
    </row>
    <row r="110">
      <c r="A110" s="42" t="n">
        <v>4</v>
      </c>
      <c r="B110" s="43" t="inlineStr">
        <is>
          <t>Schmid</t>
        </is>
      </c>
      <c r="C110" s="35" t="inlineStr">
        <is>
          <t>Frosinone</t>
        </is>
      </c>
      <c r="D110" s="10" t="n">
        <v>8</v>
      </c>
      <c r="E110" s="10" t="n">
        <v>30</v>
      </c>
      <c r="F110" s="35" t="inlineStr">
        <is>
          <t>Favorito nel tridente</t>
        </is>
      </c>
      <c r="G110" s="35" t="inlineStr">
        <is>
          <t>No</t>
        </is>
      </c>
      <c r="H110" s="36" t="inlineStr">
        <is>
          <t>4 gol + 8 assist in Germania</t>
        </is>
      </c>
      <c r="I110" s="10" t="n">
        <v>5</v>
      </c>
      <c r="J110" s="36" t="inlineStr">
        <is>
          <t>FAVORITO (~40%) su Kvernadze e Zerbin per il 3° slot del 4-3-3: quasi nessuno lo conosce. Titolare per fantacalcio.it e PazziDiFanta.</t>
        </is>
      </c>
    </row>
    <row r="111">
      <c r="A111" s="37" t="n">
        <v>5</v>
      </c>
      <c r="B111" s="38" t="inlineStr">
        <is>
          <t>Calò</t>
        </is>
      </c>
      <c r="C111" s="39" t="inlineStr">
        <is>
          <t>Frosinone</t>
        </is>
      </c>
      <c r="D111" s="40" t="n">
        <v>7</v>
      </c>
      <c r="E111" s="40" t="n">
        <v>25</v>
      </c>
      <c r="F111" s="39" t="inlineStr">
        <is>
          <t>Altissima</t>
        </is>
      </c>
      <c r="G111" s="39" t="inlineStr">
        <is>
          <t>No</t>
        </is>
      </c>
      <c r="H111" s="41" t="inlineStr">
        <is>
          <t>Frosinone</t>
        </is>
      </c>
      <c r="I111" s="40" t="n">
        <v>7</v>
      </c>
      <c r="J111" s="41" t="inlineStr">
        <is>
          <t>Se non preso come C7</t>
        </is>
      </c>
    </row>
    <row r="112">
      <c r="A112" s="42" t="n">
        <v>6</v>
      </c>
      <c r="B112" s="43" t="inlineStr">
        <is>
          <t>Perez K.</t>
        </is>
      </c>
      <c r="C112" s="35" t="inlineStr">
        <is>
          <t>Venezia</t>
        </is>
      </c>
      <c r="D112" s="10" t="n">
        <v>5</v>
      </c>
      <c r="E112" s="10" t="n">
        <v>14</v>
      </c>
      <c r="F112" s="35" t="inlineStr">
        <is>
          <t>Alta</t>
        </is>
      </c>
      <c r="G112" s="35" t="inlineStr">
        <is>
          <t>No</t>
        </is>
      </c>
      <c r="H112" s="36" t="inlineStr">
        <is>
          <t>Venezia</t>
        </is>
      </c>
      <c r="I112" s="10" t="n">
        <v>3</v>
      </c>
      <c r="J112" s="36" t="inlineStr">
        <is>
          <t>Piazzati del Venezia in canna: da ultimo slot è oro (ballottaggio con Sohm).</t>
        </is>
      </c>
    </row>
    <row r="113">
      <c r="A113" s="37" t="n">
        <v>7</v>
      </c>
      <c r="B113" s="38" t="inlineStr">
        <is>
          <t>Adzic</t>
        </is>
      </c>
      <c r="C113" s="39" t="inlineStr">
        <is>
          <t>Sassuolo</t>
        </is>
      </c>
      <c r="D113" s="40" t="n">
        <v>5</v>
      </c>
      <c r="E113" s="40" t="n">
        <v>14</v>
      </c>
      <c r="F113" s="39" t="inlineStr">
        <is>
          <t>Titolare (55/45)</t>
        </is>
      </c>
      <c r="G113" s="39" t="inlineStr">
        <is>
          <t>No</t>
        </is>
      </c>
      <c r="H113" s="41" t="inlineStr">
        <is>
          <t>2° tiratore di punizioni e corner dietro Berardi</t>
        </is>
      </c>
      <c r="I113" s="40" t="n">
        <v>6</v>
      </c>
      <c r="J113" s="41" t="inlineStr">
        <is>
          <t>Titolare (55/45 su Lipani), gran tiro da fuori — BRUCIATO da 4 fonti: alzare il budget.</t>
        </is>
      </c>
    </row>
    <row r="114">
      <c r="A114" s="42" t="n">
        <v>8</v>
      </c>
      <c r="B114" s="43" t="inlineStr">
        <is>
          <t>Vergara</t>
        </is>
      </c>
      <c r="C114" s="35" t="inlineStr">
        <is>
          <t>Napoli</t>
        </is>
      </c>
      <c r="D114" s="10" t="n">
        <v>8</v>
      </c>
      <c r="E114" s="10" t="n">
        <v>34</v>
      </c>
      <c r="F114" s="35" t="inlineStr">
        <is>
          <t>Scommessa (tibia ko)</t>
        </is>
      </c>
      <c r="G114" s="35" t="inlineStr">
        <is>
          <t>No</t>
        </is>
      </c>
      <c r="H114" s="36" t="inlineStr">
        <is>
          <t>Gol in Champions, corner in rotazione</t>
        </is>
      </c>
      <c r="I114" s="10" t="n">
        <v>2</v>
      </c>
      <c r="J114" s="36" t="inlineStr">
        <is>
          <t>'Una delle scommesse più interessanti' (PlayerManager) a 1-2 crediti — ma contusione alla tibia riacutizzata il 12/8: verificare.</t>
        </is>
      </c>
    </row>
    <row r="115">
      <c r="A115" t="n">
        <v>9</v>
      </c>
      <c r="B115" t="inlineStr">
        <is>
          <t>Oristanio</t>
        </is>
      </c>
      <c r="C115" t="inlineStr">
        <is>
          <t>Torino</t>
        </is>
      </c>
      <c r="D115" t="n">
        <v>7</v>
      </c>
      <c r="E115" t="n">
        <v>27</v>
      </c>
      <c r="F115" t="inlineStr">
        <is>
          <t>50/50 con Njie</t>
        </is>
      </c>
      <c r="G115" t="inlineStr">
        <is>
          <t>No</t>
        </is>
      </c>
      <c r="H115" t="inlineStr">
        <is>
          <t>2° tiratore piazzati dietro Vlasic</t>
        </is>
      </c>
      <c r="I115" t="n">
        <v>8</v>
      </c>
      <c r="J115" t="inlineStr">
        <is>
          <t>50/50 VERO con Njie (il campo dell'8/8 premiava Njie): dualismo da monitorare fino all'asta.</t>
        </is>
      </c>
    </row>
    <row r="116">
      <c r="A116" t="n">
        <v>10</v>
      </c>
      <c r="B116" t="inlineStr">
        <is>
          <t>Milla</t>
        </is>
      </c>
      <c r="C116" t="inlineStr">
        <is>
          <t>Como</t>
        </is>
      </c>
      <c r="D116" t="n">
        <v>5</v>
      </c>
      <c r="E116" t="n">
        <v>14</v>
      </c>
      <c r="F116" t="inlineStr">
        <is>
          <t>Alta</t>
        </is>
      </c>
      <c r="G116" t="inlineStr">
        <is>
          <t>No</t>
        </is>
      </c>
      <c r="H116" t="inlineStr">
        <is>
          <t>Como</t>
        </is>
      </c>
      <c r="I116" t="n">
        <v>7</v>
      </c>
      <c r="J116" t="inlineStr">
        <is>
          <t>Se non preso come C7</t>
        </is>
      </c>
    </row>
    <row r="117">
      <c r="A117" t="n">
        <v>11</v>
      </c>
      <c r="B117" t="inlineStr">
        <is>
          <t>Basic</t>
        </is>
      </c>
      <c r="C117" t="inlineStr">
        <is>
          <t>Venezia</t>
        </is>
      </c>
      <c r="D117" t="n">
        <v>6</v>
      </c>
      <c r="E117" t="n">
        <v>19</v>
      </c>
      <c r="F117" t="inlineStr">
        <is>
          <t>Altissima</t>
        </is>
      </c>
      <c r="G117" t="inlineStr">
        <is>
          <t>No</t>
        </is>
      </c>
      <c r="H117" t="inlineStr">
        <is>
          <t>Venezia</t>
        </is>
      </c>
      <c r="I117" t="n">
        <v>7</v>
      </c>
      <c r="J117" t="inlineStr">
        <is>
          <t>Posto fisso + piazzati a 1-2 MA ballottaggio con Sohm (DAZN) e un rosso nel 25/26.</t>
        </is>
      </c>
    </row>
    <row r="118">
      <c r="A118" t="n">
        <v>12</v>
      </c>
      <c r="B118" t="inlineStr">
        <is>
          <t>Aboukhlal</t>
        </is>
      </c>
      <c r="C118" t="inlineStr">
        <is>
          <t>Torino</t>
        </is>
      </c>
      <c r="D118" t="n">
        <v>3</v>
      </c>
      <c r="E118" t="n">
        <v>5</v>
      </c>
      <c r="F118" t="inlineStr">
        <is>
          <t>Fondo gerarchie</t>
        </is>
      </c>
      <c r="G118" t="inlineStr">
        <is>
          <t>No</t>
        </is>
      </c>
      <c r="H118" t="inlineStr">
        <is>
          <t>Cambio ruolo A→C</t>
        </is>
      </c>
      <c r="I118" t="n">
        <v>1</v>
      </c>
      <c r="J118" t="inlineStr">
        <is>
          <t>SMENTITO dalle probabili: nessuna fonte lo dà titolare (DAZN lo mette dietro Vlasic/Oristanio/Njie). Solo ultimo slot a 1.</t>
        </is>
      </c>
    </row>
    <row r="119">
      <c r="A119" t="n">
        <v>13</v>
      </c>
      <c r="B119" t="inlineStr">
        <is>
          <t>Busio</t>
        </is>
      </c>
      <c r="C119" t="inlineStr">
        <is>
          <t>Venezia</t>
        </is>
      </c>
      <c r="D119" t="n">
        <v>5</v>
      </c>
      <c r="E119" t="n">
        <v>14</v>
      </c>
      <c r="F119" t="inlineStr">
        <is>
          <t>Altissima</t>
        </is>
      </c>
      <c r="G119" t="inlineStr">
        <is>
          <t>No</t>
        </is>
      </c>
      <c r="H119" t="inlineStr">
        <is>
          <t>Venezia</t>
        </is>
      </c>
      <c r="I119" t="n">
        <v>7</v>
      </c>
      <c r="J119" t="inlineStr">
        <is>
          <t>Se non preso come C7</t>
        </is>
      </c>
    </row>
    <row r="120">
      <c r="A120" t="n">
        <v>14</v>
      </c>
      <c r="B120" t="inlineStr">
        <is>
          <t>Zhegrova</t>
        </is>
      </c>
      <c r="C120" t="inlineStr">
        <is>
          <t>Juventus</t>
        </is>
      </c>
      <c r="D120" t="n">
        <v>6</v>
      </c>
      <c r="E120" t="n">
        <v>18</v>
      </c>
      <c r="F120" t="inlineStr">
        <is>
          <t>Ballottaggio</t>
        </is>
      </c>
      <c r="G120" t="inlineStr">
        <is>
          <t>No</t>
        </is>
      </c>
      <c r="H120" t="inlineStr">
        <is>
          <t>Juventus</t>
        </is>
      </c>
      <c r="I120" t="n">
        <v>10</v>
      </c>
      <c r="J120" t="inlineStr">
        <is>
          <t>Se non preso come C5</t>
        </is>
      </c>
    </row>
    <row r="121">
      <c r="A121" t="n">
        <v>15</v>
      </c>
      <c r="B121" t="inlineStr">
        <is>
          <t>Isaksen</t>
        </is>
      </c>
      <c r="C121" t="inlineStr">
        <is>
          <t>Lazio</t>
        </is>
      </c>
      <c r="D121" t="n">
        <v>9</v>
      </c>
      <c r="E121" t="n">
        <v>25</v>
      </c>
      <c r="F121" t="inlineStr">
        <is>
          <t>Alta (post-infortunio)</t>
        </is>
      </c>
      <c r="G121" t="inlineStr">
        <is>
          <t>No</t>
        </is>
      </c>
      <c r="H121" t="inlineStr">
        <is>
          <t>Lazio</t>
        </is>
      </c>
      <c r="I121" t="n">
        <v>20</v>
      </c>
      <c r="J121" t="inlineStr">
        <is>
          <t>Scommessa di lusso se il prezzo crolla</t>
        </is>
      </c>
    </row>
    <row r="122">
      <c r="A122" t="n">
        <v>16</v>
      </c>
      <c r="B122" t="inlineStr">
        <is>
          <t>Stankovic A.</t>
        </is>
      </c>
      <c r="C122" t="inlineStr">
        <is>
          <t>Inter</t>
        </is>
      </c>
      <c r="D122" t="n">
        <v>3</v>
      </c>
      <c r="E122" t="n">
        <v>10</v>
      </c>
      <c r="F122" t="inlineStr">
        <is>
          <t>Bassa</t>
        </is>
      </c>
      <c r="G122" t="inlineStr">
        <is>
          <t>No</t>
        </is>
      </c>
      <c r="H122" t="inlineStr">
        <is>
          <t>Talento Inter</t>
        </is>
      </c>
      <c r="I122" t="n">
        <v>2</v>
      </c>
      <c r="J122" t="inlineStr">
        <is>
          <t>Puro parcheggio a 1: minutaggio da verificare</t>
        </is>
      </c>
    </row>
  </sheetData>
  <mergeCells count="8">
    <mergeCell ref="A32:J32"/>
    <mergeCell ref="A46:J46"/>
    <mergeCell ref="A18:J18"/>
    <mergeCell ref="A74:J74"/>
    <mergeCell ref="A88:J88"/>
    <mergeCell ref="A105:J105"/>
    <mergeCell ref="A60:J60"/>
    <mergeCell ref="A4:J4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10" defaultColWidth="8.6640625" defaultRowHeight="15"/>
  <cols>
    <col width="8" customWidth="1" min="1" max="1"/>
    <col width="18" customWidth="1" min="2" max="2"/>
    <col width="11" customWidth="1" min="3" max="3"/>
    <col width="6" customWidth="1" min="4" max="5"/>
    <col width="16" customWidth="1" min="6" max="7"/>
    <col width="34" customWidth="1" min="8" max="8"/>
    <col width="9" customWidth="1" min="9" max="9"/>
    <col width="52" customWidth="1" min="10" max="10"/>
  </cols>
  <sheetData>
    <row r="1" ht="18" customHeight="1">
      <c r="A1" s="33" t="inlineStr">
        <is>
          <t>ATTACCANTI · target + 10 alternative per ogni slot, in ordine di priorità</t>
        </is>
      </c>
    </row>
    <row r="2">
      <c r="A2" s="4" t="inlineStr">
        <is>
          <t>Priorità 1 = target consigliato (già riportato nel foglio Asta). Se un nome è già stato battuto, passa al successivo. "Se non preso prima": nomi condivisi tra slot vicini del reparto.</t>
        </is>
      </c>
    </row>
    <row r="3"/>
    <row r="4">
      <c r="A4" s="1" t="inlineStr">
        <is>
          <t>SLOT A1 — Super top (garanzia 15+ gol) · budget consigliato: 220</t>
        </is>
      </c>
    </row>
    <row r="5" ht="28" customHeight="1">
      <c r="A5" s="46" t="inlineStr">
        <is>
          <t>Priorità</t>
        </is>
      </c>
      <c r="B5" s="46" t="inlineStr">
        <is>
          <t>Giocatore</t>
        </is>
      </c>
      <c r="C5" s="46" t="inlineStr">
        <is>
          <t>Squadra</t>
        </is>
      </c>
      <c r="D5" s="46" t="inlineStr">
        <is>
          <t>Qt.A</t>
        </is>
      </c>
      <c r="E5" s="46" t="inlineStr">
        <is>
          <t>FVM</t>
        </is>
      </c>
      <c r="F5" s="46" t="inlineStr">
        <is>
          <t>Titolarità</t>
        </is>
      </c>
      <c r="G5" s="46" t="inlineStr">
        <is>
          <t>Rigorista</t>
        </is>
      </c>
      <c r="H5" s="46" t="inlineStr">
        <is>
          <t>Bonus attesi / punti di forza</t>
        </is>
      </c>
      <c r="I5" s="46" t="inlineStr">
        <is>
          <t>Prezzo max</t>
        </is>
      </c>
      <c r="J5" s="46" t="inlineStr">
        <is>
          <t>Note</t>
        </is>
      </c>
    </row>
    <row r="6">
      <c r="A6" s="16" t="n">
        <v>1</v>
      </c>
      <c r="B6" s="5" t="inlineStr">
        <is>
          <t>Martinez L.</t>
        </is>
      </c>
      <c r="C6" s="35" t="inlineStr">
        <is>
          <t>Inter</t>
        </is>
      </c>
      <c r="D6" s="10" t="n">
        <v>35</v>
      </c>
      <c r="E6" s="10" t="n">
        <v>370</v>
      </c>
      <c r="F6" s="35" t="inlineStr">
        <is>
          <t>Altissima</t>
        </is>
      </c>
      <c r="G6" s="35" t="inlineStr">
        <is>
          <t>Alternativa</t>
        </is>
      </c>
      <c r="H6" s="36" t="inlineStr">
        <is>
          <t>Garanzia 15+ gol</t>
        </is>
      </c>
      <c r="I6" s="10" t="n">
        <v>230</v>
      </c>
      <c r="J6" s="36" t="inlineStr">
        <is>
          <t>Il capitano dell'Inter resta il punto di riferimento dei fantallenatori</t>
        </is>
      </c>
    </row>
    <row r="7">
      <c r="A7" s="37" t="n">
        <v>2</v>
      </c>
      <c r="B7" s="38" t="inlineStr">
        <is>
          <t>Malen</t>
        </is>
      </c>
      <c r="C7" s="39" t="inlineStr">
        <is>
          <t>Roma</t>
        </is>
      </c>
      <c r="D7" s="40" t="n">
        <v>34</v>
      </c>
      <c r="E7" s="40" t="n">
        <v>365</v>
      </c>
      <c r="F7" s="39" t="inlineStr">
        <is>
          <t>Altissima</t>
        </is>
      </c>
      <c r="G7" s="39" t="inlineStr">
        <is>
          <t>Sì (confermato)</t>
        </is>
      </c>
      <c r="H7" s="41" t="inlineStr">
        <is>
          <t>15+ gol, tira TUTTI i rigori della Roma</t>
        </is>
      </c>
      <c r="I7" s="40" t="n">
        <v>225</v>
      </c>
      <c r="J7" s="41" t="inlineStr">
        <is>
          <t>Il 9 FAVORITO (70/30 su Castro, 6/6 probabili) e rigorista di misura. 1 giallo nel 25/26: perfetto anche per il fairplay.</t>
        </is>
      </c>
    </row>
    <row r="8">
      <c r="A8" s="42" t="n">
        <v>3</v>
      </c>
      <c r="B8" s="43" t="inlineStr">
        <is>
          <t>Thuram</t>
        </is>
      </c>
      <c r="C8" s="35" t="inlineStr">
        <is>
          <t>Inter</t>
        </is>
      </c>
      <c r="D8" s="10" t="n">
        <v>29</v>
      </c>
      <c r="E8" s="10" t="n">
        <v>280</v>
      </c>
      <c r="F8" s="35" t="inlineStr">
        <is>
          <t>Altissima</t>
        </is>
      </c>
      <c r="G8" s="35" t="inlineStr">
        <is>
          <t>No</t>
        </is>
      </c>
      <c r="H8" s="36" t="inlineStr">
        <is>
          <t>13 gol e 6 assist nel 25/26</t>
        </is>
      </c>
      <c r="I8" s="10" t="n">
        <v>190</v>
      </c>
      <c r="J8" s="36" t="inlineStr">
        <is>
          <t>Polpaccio ko: salta l'ultima amichevole, a forte rischio per la 1ª. Top sull'anno, non per l'avvio.</t>
        </is>
      </c>
    </row>
    <row r="9">
      <c r="A9" s="37" t="n">
        <v>4</v>
      </c>
      <c r="B9" s="38" t="inlineStr">
        <is>
          <t>Hojlund</t>
        </is>
      </c>
      <c r="C9" s="39" t="inlineStr">
        <is>
          <t>Napoli</t>
        </is>
      </c>
      <c r="D9" s="40" t="n">
        <v>28</v>
      </c>
      <c r="E9" s="40" t="n">
        <v>271</v>
      </c>
      <c r="F9" s="39" t="inlineStr">
        <is>
          <t>Altissima</t>
        </is>
      </c>
      <c r="G9" s="39" t="inlineStr">
        <is>
          <t>Alternativa</t>
        </is>
      </c>
      <c r="H9" s="41" t="inlineStr">
        <is>
          <t>Doppia cifra sicura</t>
        </is>
      </c>
      <c r="I9" s="40" t="n">
        <v>180</v>
      </c>
      <c r="J9" s="41" t="inlineStr">
        <is>
          <t>Titolare inamovibile, 1 giallo nel 25/26, per FantaMaster addirittura 1° rigorista: pagalo per i gol, il resto è upside.</t>
        </is>
      </c>
    </row>
    <row r="10" ht="26" customHeight="1">
      <c r="A10" s="42" t="n">
        <v>5</v>
      </c>
      <c r="B10" s="43" t="inlineStr">
        <is>
          <t>Ramos G.</t>
        </is>
      </c>
      <c r="C10" s="35" t="inlineStr">
        <is>
          <t>Milan</t>
        </is>
      </c>
      <c r="D10" s="10" t="n">
        <v>27</v>
      </c>
      <c r="E10" s="10" t="n">
        <v>232</v>
      </c>
      <c r="F10" s="35" t="inlineStr">
        <is>
          <t>Altissima</t>
        </is>
      </c>
      <c r="G10" s="35" t="inlineStr">
        <is>
          <t>1° per le fonti fresche</t>
        </is>
      </c>
      <c r="H10" s="36" t="inlineStr">
        <is>
          <t>Doppia cifra + possibili rigori</t>
        </is>
      </c>
      <c r="I10" s="10" t="n">
        <v>170</v>
      </c>
      <c r="J10" s="36" t="inlineStr">
        <is>
          <t>Il 9 fisso (unanime) e per FantaMaster/Fantacalcio.it è LUI il rigorista, non Nkunku. Zero dubbi di posto.</t>
        </is>
      </c>
    </row>
    <row r="11">
      <c r="A11" s="37" t="n">
        <v>6</v>
      </c>
      <c r="B11" s="38" t="inlineStr">
        <is>
          <t>Kolo Muani</t>
        </is>
      </c>
      <c r="C11" s="39" t="inlineStr">
        <is>
          <t>Juventus</t>
        </is>
      </c>
      <c r="D11" s="40" t="n">
        <v>26</v>
      </c>
      <c r="E11" s="40" t="n">
        <v>225</v>
      </c>
      <c r="F11" s="39" t="inlineStr">
        <is>
          <t>Altissima</t>
        </is>
      </c>
      <c r="G11" s="39" t="inlineStr">
        <is>
          <t>In pole (consolidato)</t>
        </is>
      </c>
      <c r="H11" s="41" t="inlineStr">
        <is>
          <t>Doppia cifra</t>
        </is>
      </c>
      <c r="I11" s="40" t="n">
        <v>165</v>
      </c>
      <c r="J11" s="41" t="inlineStr">
        <is>
          <t>Titolare certo (75/25 su David) e rigorista per quasi tutte le fonti: resta solo la mancata ufficialità di Spalletti.</t>
        </is>
      </c>
    </row>
    <row r="12">
      <c r="A12" s="42" t="n">
        <v>7</v>
      </c>
      <c r="B12" s="43" t="inlineStr">
        <is>
          <t>Kean</t>
        </is>
      </c>
      <c r="C12" s="35" t="inlineStr">
        <is>
          <t>Fiorentina</t>
        </is>
      </c>
      <c r="D12" s="10" t="n">
        <v>25</v>
      </c>
      <c r="E12" s="10" t="n">
        <v>212</v>
      </c>
      <c r="F12" s="35" t="inlineStr">
        <is>
          <t>Altissima</t>
        </is>
      </c>
      <c r="G12" s="35" t="inlineStr">
        <is>
          <t>No</t>
        </is>
      </c>
      <c r="H12" s="36" t="inlineStr">
        <is>
          <t>Riscatto totale atteso</t>
        </is>
      </c>
      <c r="I12" s="10" t="n">
        <v>160</v>
      </c>
      <c r="J12" s="36" t="inlineStr">
        <is>
          <t>Ci aspettiamo il suo totale riscatto in viola</t>
        </is>
      </c>
    </row>
    <row r="13">
      <c r="A13" s="37" t="n">
        <v>8</v>
      </c>
      <c r="B13" s="38" t="inlineStr">
        <is>
          <t>Yildiz</t>
        </is>
      </c>
      <c r="C13" s="39" t="inlineStr">
        <is>
          <t>Juventus</t>
        </is>
      </c>
      <c r="D13" s="40" t="n">
        <v>23</v>
      </c>
      <c r="E13" s="40" t="n">
        <v>192</v>
      </c>
      <c r="F13" s="39" t="inlineStr">
        <is>
          <t>Altissima</t>
        </is>
      </c>
      <c r="G13" s="39" t="inlineStr">
        <is>
          <t>No</t>
        </is>
      </c>
      <c r="H13" s="41" t="inlineStr">
        <is>
          <t>Gol+assist da top</t>
        </is>
      </c>
      <c r="I13" s="40" t="n">
        <v>150</v>
      </c>
      <c r="J13" s="41" t="inlineStr">
        <is>
          <t>Quota bonus da top tra gol e assist</t>
        </is>
      </c>
    </row>
    <row r="14">
      <c r="A14" s="42" t="n">
        <v>9</v>
      </c>
      <c r="B14" s="43" t="inlineStr">
        <is>
          <t>Douvikas</t>
        </is>
      </c>
      <c r="C14" s="35" t="inlineStr">
        <is>
          <t>Como</t>
        </is>
      </c>
      <c r="D14" s="10" t="n">
        <v>20</v>
      </c>
      <c r="E14" s="10" t="n">
        <v>157</v>
      </c>
      <c r="F14" s="35" t="inlineStr">
        <is>
          <t>Altissima</t>
        </is>
      </c>
      <c r="G14" s="35" t="inlineStr">
        <is>
          <t>No</t>
        </is>
      </c>
      <c r="H14" s="36" t="inlineStr">
        <is>
          <t>Doppia cifra nel Como</t>
        </is>
      </c>
      <c r="I14" s="10" t="n">
        <v>130</v>
      </c>
      <c r="J14" s="36" t="inlineStr">
        <is>
          <t>Titolare 85% (Morata fuori rosa di fatto) e ZERO cartellini con 14 gol: il 9 fairplay per eccellenza.</t>
        </is>
      </c>
    </row>
    <row r="15">
      <c r="A15" s="37" t="n">
        <v>10</v>
      </c>
      <c r="B15" s="38" t="inlineStr">
        <is>
          <t>Scamacca</t>
        </is>
      </c>
      <c r="C15" s="39" t="inlineStr">
        <is>
          <t>Atalanta</t>
        </is>
      </c>
      <c r="D15" s="40" t="n">
        <v>19</v>
      </c>
      <c r="E15" s="40" t="n">
        <v>131</v>
      </c>
      <c r="F15" s="39" t="inlineStr">
        <is>
          <t>Alta (se sta bene)</t>
        </is>
      </c>
      <c r="G15" s="39" t="inlineStr">
        <is>
          <t>Sì</t>
        </is>
      </c>
      <c r="H15" s="41" t="inlineStr">
        <is>
          <t>3/3 nel 25/26 dal dischetto</t>
        </is>
      </c>
      <c r="I15" s="40" t="n">
        <v>120</v>
      </c>
      <c r="J15" s="41" t="inlineStr">
        <is>
          <t>70/30 su Krstovic, in pole sui rigori, 2 gialli: col ko di DK è il riferimento della Dea. Tetto 100.</t>
        </is>
      </c>
    </row>
    <row r="16">
      <c r="A16" s="42" t="n">
        <v>11</v>
      </c>
      <c r="B16" s="43" t="inlineStr">
        <is>
          <t>Davis K.</t>
        </is>
      </c>
      <c r="C16" s="35" t="inlineStr">
        <is>
          <t>Udinese</t>
        </is>
      </c>
      <c r="D16" s="10" t="n">
        <v>19</v>
      </c>
      <c r="E16" s="10" t="n">
        <v>122</v>
      </c>
      <c r="F16" s="35" t="inlineStr">
        <is>
          <t>Altissima</t>
        </is>
      </c>
      <c r="G16" s="35" t="inlineStr">
        <is>
          <t>Sì</t>
        </is>
      </c>
      <c r="H16" s="36" t="inlineStr">
        <is>
          <t>Doppia cifra + rigori Udinese</t>
        </is>
      </c>
      <c r="I16" s="10" t="n">
        <v>115</v>
      </c>
      <c r="J16" s="36" t="inlineStr">
        <is>
          <t>Primo rigorista dell'Udinese</t>
        </is>
      </c>
    </row>
    <row r="17"/>
    <row r="18">
      <c r="A18" s="1" t="inlineStr">
        <is>
          <t>SLOT A2 — Primo slot doppia cifra sicura · budget consigliato: 150</t>
        </is>
      </c>
    </row>
    <row r="19" ht="28" customHeight="1">
      <c r="A19" s="46" t="inlineStr">
        <is>
          <t>Priorità</t>
        </is>
      </c>
      <c r="B19" s="46" t="inlineStr">
        <is>
          <t>Giocatore</t>
        </is>
      </c>
      <c r="C19" s="46" t="inlineStr">
        <is>
          <t>Squadra</t>
        </is>
      </c>
      <c r="D19" s="46" t="inlineStr">
        <is>
          <t>Qt.A</t>
        </is>
      </c>
      <c r="E19" s="46" t="inlineStr">
        <is>
          <t>FVM</t>
        </is>
      </c>
      <c r="F19" s="46" t="inlineStr">
        <is>
          <t>Titolarità</t>
        </is>
      </c>
      <c r="G19" s="46" t="inlineStr">
        <is>
          <t>Rigorista</t>
        </is>
      </c>
      <c r="H19" s="46" t="inlineStr">
        <is>
          <t>Bonus attesi / punti di forza</t>
        </is>
      </c>
      <c r="I19" s="46" t="inlineStr">
        <is>
          <t>Prezzo max</t>
        </is>
      </c>
      <c r="J19" s="46" t="inlineStr">
        <is>
          <t>Note</t>
        </is>
      </c>
    </row>
    <row r="20">
      <c r="A20" s="16" t="n">
        <v>1</v>
      </c>
      <c r="B20" s="5" t="inlineStr">
        <is>
          <t>Hojlund</t>
        </is>
      </c>
      <c r="C20" s="35" t="inlineStr">
        <is>
          <t>Napoli</t>
        </is>
      </c>
      <c r="D20" s="10" t="n">
        <v>28</v>
      </c>
      <c r="E20" s="10" t="n">
        <v>271</v>
      </c>
      <c r="F20" s="35" t="inlineStr">
        <is>
          <t>Altissima</t>
        </is>
      </c>
      <c r="G20" s="35" t="inlineStr">
        <is>
          <t>Alternativa</t>
        </is>
      </c>
      <c r="H20" s="36" t="inlineStr">
        <is>
          <t>Doppia cifra</t>
        </is>
      </c>
      <c r="I20" s="10" t="n">
        <v>180</v>
      </c>
      <c r="J20" s="36" t="inlineStr">
        <is>
          <t>Se non preso come A1</t>
        </is>
      </c>
    </row>
    <row r="21">
      <c r="A21" s="37" t="n">
        <v>2</v>
      </c>
      <c r="B21" s="38" t="inlineStr">
        <is>
          <t>Kean</t>
        </is>
      </c>
      <c r="C21" s="39" t="inlineStr">
        <is>
          <t>Fiorentina</t>
        </is>
      </c>
      <c r="D21" s="40" t="n">
        <v>25</v>
      </c>
      <c r="E21" s="40" t="n">
        <v>212</v>
      </c>
      <c r="F21" s="39" t="inlineStr">
        <is>
          <t>Altissima</t>
        </is>
      </c>
      <c r="G21" s="39" t="inlineStr">
        <is>
          <t>No</t>
        </is>
      </c>
      <c r="H21" s="41" t="inlineStr">
        <is>
          <t>Riscatto</t>
        </is>
      </c>
      <c r="I21" s="40" t="n">
        <v>160</v>
      </c>
      <c r="J21" s="41" t="inlineStr">
        <is>
          <t>Punta unica confermata al 90/10 (Pellegrino arriva da vice e alla 1ª è indisponibile): il posto è blindato. Rigori dietro Gudmundsson.</t>
        </is>
      </c>
    </row>
    <row r="22">
      <c r="A22" s="42" t="n">
        <v>3</v>
      </c>
      <c r="B22" s="43" t="inlineStr">
        <is>
          <t>Kolo Muani</t>
        </is>
      </c>
      <c r="C22" s="35" t="inlineStr">
        <is>
          <t>Juventus</t>
        </is>
      </c>
      <c r="D22" s="10" t="n">
        <v>26</v>
      </c>
      <c r="E22" s="10" t="n">
        <v>225</v>
      </c>
      <c r="F22" s="35" t="inlineStr">
        <is>
          <t>Altissima</t>
        </is>
      </c>
      <c r="G22" s="35" t="inlineStr">
        <is>
          <t>In pole (consolidato)</t>
        </is>
      </c>
      <c r="H22" s="36" t="inlineStr">
        <is>
          <t>Doppia cifra</t>
        </is>
      </c>
      <c r="I22" s="10" t="n">
        <v>165</v>
      </c>
      <c r="J22" s="36" t="inlineStr">
        <is>
          <t>38M + maglia 9 + rigori in pole: il pacchetto Juve più solido.</t>
        </is>
      </c>
    </row>
    <row r="23">
      <c r="A23" s="37" t="n">
        <v>4</v>
      </c>
      <c r="B23" s="38" t="inlineStr">
        <is>
          <t>Ramos G.</t>
        </is>
      </c>
      <c r="C23" s="39" t="inlineStr">
        <is>
          <t>Milan</t>
        </is>
      </c>
      <c r="D23" s="40" t="n">
        <v>27</v>
      </c>
      <c r="E23" s="40" t="n">
        <v>232</v>
      </c>
      <c r="F23" s="39" t="inlineStr">
        <is>
          <t>Altissima</t>
        </is>
      </c>
      <c r="G23" s="39" t="inlineStr">
        <is>
          <t>Sì (in ballottaggio)</t>
        </is>
      </c>
      <c r="H23" s="41" t="inlineStr">
        <is>
          <t>Doppia cifra</t>
        </is>
      </c>
      <c r="I23" s="40" t="n">
        <v>170</v>
      </c>
      <c r="J23" s="41" t="inlineStr">
        <is>
          <t>Se non preso come A1</t>
        </is>
      </c>
    </row>
    <row r="24">
      <c r="A24" s="42" t="n">
        <v>5</v>
      </c>
      <c r="B24" s="43" t="inlineStr">
        <is>
          <t>Yildiz</t>
        </is>
      </c>
      <c r="C24" s="35" t="inlineStr">
        <is>
          <t>Juventus</t>
        </is>
      </c>
      <c r="D24" s="10" t="n">
        <v>23</v>
      </c>
      <c r="E24" s="10" t="n">
        <v>192</v>
      </c>
      <c r="F24" s="35" t="inlineStr">
        <is>
          <t>Altissima</t>
        </is>
      </c>
      <c r="G24" s="35" t="inlineStr">
        <is>
          <t>No</t>
        </is>
      </c>
      <c r="H24" s="36" t="inlineStr">
        <is>
          <t>Bonus da top</t>
        </is>
      </c>
      <c r="I24" s="10" t="n">
        <v>150</v>
      </c>
      <c r="J24" s="36" t="inlineStr">
        <is>
          <t>Se non preso come A1</t>
        </is>
      </c>
    </row>
    <row r="25">
      <c r="A25" s="37" t="n">
        <v>6</v>
      </c>
      <c r="B25" s="38" t="inlineStr">
        <is>
          <t>Douvikas</t>
        </is>
      </c>
      <c r="C25" s="39" t="inlineStr">
        <is>
          <t>Como</t>
        </is>
      </c>
      <c r="D25" s="40" t="n">
        <v>20</v>
      </c>
      <c r="E25" s="40" t="n">
        <v>157</v>
      </c>
      <c r="F25" s="39" t="inlineStr">
        <is>
          <t>Altissima</t>
        </is>
      </c>
      <c r="G25" s="39" t="inlineStr">
        <is>
          <t>No</t>
        </is>
      </c>
      <c r="H25" s="41" t="inlineStr">
        <is>
          <t>Doppia cifra</t>
        </is>
      </c>
      <c r="I25" s="40" t="n">
        <v>130</v>
      </c>
      <c r="J25" s="41" t="inlineStr">
        <is>
          <t>7/7 fonti titolare, 0 cartellini nel 25/26: certezza + fairplay al miglior prezzo.</t>
        </is>
      </c>
    </row>
    <row r="26">
      <c r="A26" s="42" t="n">
        <v>7</v>
      </c>
      <c r="B26" s="43" t="inlineStr">
        <is>
          <t>Scamacca</t>
        </is>
      </c>
      <c r="C26" s="35" t="inlineStr">
        <is>
          <t>Atalanta</t>
        </is>
      </c>
      <c r="D26" s="10" t="n">
        <v>19</v>
      </c>
      <c r="E26" s="10" t="n">
        <v>131</v>
      </c>
      <c r="F26" s="35" t="inlineStr">
        <is>
          <t>Alta (se sta bene)</t>
        </is>
      </c>
      <c r="G26" s="35" t="inlineStr">
        <is>
          <t>Sì</t>
        </is>
      </c>
      <c r="H26" s="36" t="inlineStr">
        <is>
          <t>Rigorista Atalanta</t>
        </is>
      </c>
      <c r="I26" s="10" t="n">
        <v>120</v>
      </c>
      <c r="J26" s="36" t="inlineStr">
        <is>
          <t>Avanti 70/30, rigori in pole ma non ufficializzati: tetto 100.</t>
        </is>
      </c>
    </row>
    <row r="27">
      <c r="A27" s="37" t="n">
        <v>8</v>
      </c>
      <c r="B27" s="38" t="inlineStr">
        <is>
          <t>Davis K.</t>
        </is>
      </c>
      <c r="C27" s="39" t="inlineStr">
        <is>
          <t>Udinese</t>
        </is>
      </c>
      <c r="D27" s="40" t="n">
        <v>19</v>
      </c>
      <c r="E27" s="40" t="n">
        <v>122</v>
      </c>
      <c r="F27" s="39" t="inlineStr">
        <is>
          <t>Altissima</t>
        </is>
      </c>
      <c r="G27" s="39" t="inlineStr">
        <is>
          <t>Sì</t>
        </is>
      </c>
      <c r="H27" s="41" t="inlineStr">
        <is>
          <t>Rigorista Udinese</t>
        </is>
      </c>
      <c r="I27" s="40" t="n">
        <v>115</v>
      </c>
      <c r="J27" s="41" t="inlineStr">
        <is>
          <t>Se non preso come A1</t>
        </is>
      </c>
    </row>
    <row r="28">
      <c r="A28" s="42" t="n">
        <v>9</v>
      </c>
      <c r="B28" s="43" t="inlineStr">
        <is>
          <t>Leao</t>
        </is>
      </c>
      <c r="C28" s="35" t="inlineStr">
        <is>
          <t>Milan</t>
        </is>
      </c>
      <c r="D28" s="10" t="n">
        <v>18</v>
      </c>
      <c r="E28" s="10" t="n">
        <v>120</v>
      </c>
      <c r="F28" s="35" t="inlineStr">
        <is>
          <t>Rischio cessione ALTO</t>
        </is>
      </c>
      <c r="G28" s="35" t="inlineStr">
        <is>
          <t>No</t>
        </is>
      </c>
      <c r="H28" s="36" t="inlineStr">
        <is>
          <t>Gol+assist</t>
        </is>
      </c>
      <c r="I28" s="10" t="n">
        <v>40</v>
      </c>
      <c r="J28" s="36" t="inlineStr">
        <is>
          <t>DOPPIO ALLARME 14/8: il Milan apre alla cessione (richiesta giù a 40-45M, Gala pronto) E problema muscolare, in dubbio per la 1ª. Forte sconto o lasciare.</t>
        </is>
      </c>
    </row>
    <row r="29">
      <c r="A29" s="37" t="n">
        <v>10</v>
      </c>
      <c r="B29" s="38" t="inlineStr">
        <is>
          <t>Berardi</t>
        </is>
      </c>
      <c r="C29" s="39" t="inlineStr">
        <is>
          <t>Sassuolo</t>
        </is>
      </c>
      <c r="D29" s="40" t="n">
        <v>18</v>
      </c>
      <c r="E29" s="40" t="n">
        <v>115</v>
      </c>
      <c r="F29" s="39" t="inlineStr">
        <is>
          <t>Altissima</t>
        </is>
      </c>
      <c r="G29" s="39" t="inlineStr">
        <is>
          <t>Sì</t>
        </is>
      </c>
      <c r="H29" s="41" t="inlineStr">
        <is>
          <t>Il rigorista principe del Sassuolo</t>
        </is>
      </c>
      <c r="I29" s="40" t="n">
        <v>95</v>
      </c>
      <c r="J29" s="41" t="inlineStr">
        <is>
          <t>Caviglia: preparazione saltata, in dubbio per la 1ª. E un rosso nel 25/26. Scontare.</t>
        </is>
      </c>
    </row>
    <row r="30">
      <c r="A30" s="42" t="n">
        <v>11</v>
      </c>
      <c r="B30" s="43" t="inlineStr">
        <is>
          <t>Krstovic</t>
        </is>
      </c>
      <c r="C30" s="35" t="inlineStr">
        <is>
          <t>Atalanta</t>
        </is>
      </c>
      <c r="D30" s="10" t="n">
        <v>18</v>
      </c>
      <c r="E30" s="10" t="n">
        <v>95</v>
      </c>
      <c r="F30" s="35" t="inlineStr">
        <is>
          <t>Alta</t>
        </is>
      </c>
      <c r="G30" s="35" t="inlineStr">
        <is>
          <t>Alternativa</t>
        </is>
      </c>
      <c r="H30" s="36" t="inlineStr">
        <is>
          <t>Doppia cifra potenziale</t>
        </is>
      </c>
      <c r="I30" s="10" t="n">
        <v>90</v>
      </c>
      <c r="J30" s="36" t="inlineStr">
        <is>
          <t>Parte dietro uno Scamacca in crescita e Sarri ha 4 soluzioni: solo a sconto o in coppia.</t>
        </is>
      </c>
    </row>
    <row r="31"/>
    <row r="32">
      <c r="A32" s="1" t="inlineStr">
        <is>
          <t>SLOT A3 — Prima fascia (10-14 gol attesi) · budget consigliato: 80</t>
        </is>
      </c>
    </row>
    <row r="33" ht="28" customHeight="1">
      <c r="A33" s="46" t="inlineStr">
        <is>
          <t>Priorità</t>
        </is>
      </c>
      <c r="B33" s="46" t="inlineStr">
        <is>
          <t>Giocatore</t>
        </is>
      </c>
      <c r="C33" s="46" t="inlineStr">
        <is>
          <t>Squadra</t>
        </is>
      </c>
      <c r="D33" s="46" t="inlineStr">
        <is>
          <t>Qt.A</t>
        </is>
      </c>
      <c r="E33" s="46" t="inlineStr">
        <is>
          <t>FVM</t>
        </is>
      </c>
      <c r="F33" s="46" t="inlineStr">
        <is>
          <t>Titolarità</t>
        </is>
      </c>
      <c r="G33" s="46" t="inlineStr">
        <is>
          <t>Rigorista</t>
        </is>
      </c>
      <c r="H33" s="46" t="inlineStr">
        <is>
          <t>Bonus attesi / punti di forza</t>
        </is>
      </c>
      <c r="I33" s="46" t="inlineStr">
        <is>
          <t>Prezzo max</t>
        </is>
      </c>
      <c r="J33" s="46" t="inlineStr">
        <is>
          <t>Note</t>
        </is>
      </c>
    </row>
    <row r="34">
      <c r="A34" s="16" t="n">
        <v>1</v>
      </c>
      <c r="B34" s="5" t="inlineStr">
        <is>
          <t>Scamacca</t>
        </is>
      </c>
      <c r="C34" s="35" t="inlineStr">
        <is>
          <t>Atalanta</t>
        </is>
      </c>
      <c r="D34" s="10" t="n">
        <v>19</v>
      </c>
      <c r="E34" s="10" t="n">
        <v>131</v>
      </c>
      <c r="F34" s="35" t="inlineStr">
        <is>
          <t>Alta (se sta bene)</t>
        </is>
      </c>
      <c r="G34" s="35" t="inlineStr">
        <is>
          <t>Sì</t>
        </is>
      </c>
      <c r="H34" s="36" t="inlineStr">
        <is>
          <t>Rigorista</t>
        </is>
      </c>
      <c r="I34" s="10" t="n">
        <v>120</v>
      </c>
      <c r="J34" s="36" t="inlineStr">
        <is>
          <t>70/30 su Krstovic e riferimento con DK acciaccato: tetto 100.</t>
        </is>
      </c>
    </row>
    <row r="35">
      <c r="A35" s="37" t="n">
        <v>2</v>
      </c>
      <c r="B35" s="38" t="inlineStr">
        <is>
          <t>Davis K.</t>
        </is>
      </c>
      <c r="C35" s="39" t="inlineStr">
        <is>
          <t>Udinese</t>
        </is>
      </c>
      <c r="D35" s="40" t="n">
        <v>19</v>
      </c>
      <c r="E35" s="40" t="n">
        <v>122</v>
      </c>
      <c r="F35" s="39" t="inlineStr">
        <is>
          <t>Altissima</t>
        </is>
      </c>
      <c r="G35" s="39" t="inlineStr">
        <is>
          <t>Sì</t>
        </is>
      </c>
      <c r="H35" s="41" t="inlineStr">
        <is>
          <t>Rigorista</t>
        </is>
      </c>
      <c r="I35" s="40" t="n">
        <v>115</v>
      </c>
      <c r="J35" s="41" t="inlineStr">
        <is>
          <t>Se non preso prima</t>
        </is>
      </c>
    </row>
    <row r="36">
      <c r="A36" s="42" t="n">
        <v>3</v>
      </c>
      <c r="B36" s="43" t="inlineStr">
        <is>
          <t>Dovbyk</t>
        </is>
      </c>
      <c r="C36" s="35" t="inlineStr">
        <is>
          <t>Bologna</t>
        </is>
      </c>
      <c r="D36" s="10" t="n">
        <v>16</v>
      </c>
      <c r="E36" s="10" t="n">
        <v>84</v>
      </c>
      <c r="F36" s="35" t="inlineStr">
        <is>
          <t>Altissima</t>
        </is>
      </c>
      <c r="G36" s="35" t="inlineStr">
        <is>
          <t>Sì (in ballottaggio)</t>
        </is>
      </c>
      <c r="H36" s="36" t="inlineStr">
        <is>
          <t>27/32 rigori in carriera</t>
        </is>
      </c>
      <c r="I36" s="10" t="n">
        <v>75</v>
      </c>
      <c r="J36" s="36" t="inlineStr">
        <is>
          <t>Titolare designato (70/30 su Piccoli che è VICE, non trequartista) e ZERO cartellini: gol + fairplay.</t>
        </is>
      </c>
    </row>
    <row r="37">
      <c r="A37" s="37" t="n">
        <v>4</v>
      </c>
      <c r="B37" s="38" t="inlineStr">
        <is>
          <t>Berardi</t>
        </is>
      </c>
      <c r="C37" s="39" t="inlineStr">
        <is>
          <t>Sassuolo</t>
        </is>
      </c>
      <c r="D37" s="40" t="n">
        <v>18</v>
      </c>
      <c r="E37" s="40" t="n">
        <v>115</v>
      </c>
      <c r="F37" s="39" t="inlineStr">
        <is>
          <t>Altissima</t>
        </is>
      </c>
      <c r="G37" s="39" t="inlineStr">
        <is>
          <t>Sì</t>
        </is>
      </c>
      <c r="H37" s="41" t="inlineStr">
        <is>
          <t>Rigorista</t>
        </is>
      </c>
      <c r="I37" s="40" t="n">
        <v>95</v>
      </c>
      <c r="J37" s="41" t="inlineStr">
        <is>
          <t>In dubbio per la 1ª (caviglia, programma personalizzato): scontare l'avvio.</t>
        </is>
      </c>
    </row>
    <row r="38">
      <c r="A38" s="42" t="n">
        <v>5</v>
      </c>
      <c r="B38" s="43" t="inlineStr">
        <is>
          <t>De Ketelaere</t>
        </is>
      </c>
      <c r="C38" s="35" t="inlineStr">
        <is>
          <t>Atalanta</t>
        </is>
      </c>
      <c r="D38" s="10" t="n">
        <v>17</v>
      </c>
      <c r="E38" s="10" t="n">
        <v>106</v>
      </c>
      <c r="F38" s="35" t="inlineStr">
        <is>
          <t>A rischio 1ª (adduttori)</t>
        </is>
      </c>
      <c r="G38" s="35" t="inlineStr">
        <is>
          <t>Alternativa</t>
        </is>
      </c>
      <c r="H38" s="36" t="inlineStr">
        <is>
          <t>Parecchi bonus attesi</t>
        </is>
      </c>
      <c r="I38" s="10" t="n">
        <v>80</v>
      </c>
      <c r="J38" s="36" t="inlineStr">
        <is>
          <t>Distrazione agli adduttori (12/8): a rischio per la 1ª. Resta il titolare designato a destra: sconto-infortunio.</t>
        </is>
      </c>
    </row>
    <row r="39">
      <c r="A39" s="37" t="n">
        <v>6</v>
      </c>
      <c r="B39" s="38" t="inlineStr">
        <is>
          <t>Krstovic</t>
        </is>
      </c>
      <c r="C39" s="39" t="inlineStr">
        <is>
          <t>Atalanta</t>
        </is>
      </c>
      <c r="D39" s="40" t="n">
        <v>18</v>
      </c>
      <c r="E39" s="40" t="n">
        <v>95</v>
      </c>
      <c r="F39" s="39" t="inlineStr">
        <is>
          <t>Alta</t>
        </is>
      </c>
      <c r="G39" s="39" t="inlineStr">
        <is>
          <t>Alternativa</t>
        </is>
      </c>
      <c r="H39" s="41" t="inlineStr">
        <is>
          <t>Doppia cifra</t>
        </is>
      </c>
      <c r="I39" s="40" t="n">
        <v>90</v>
      </c>
      <c r="J39" s="41" t="inlineStr">
        <is>
          <t>Dietro Scamacca (70/30): solo a sconto o in coppia.</t>
        </is>
      </c>
    </row>
    <row r="40">
      <c r="A40" s="42" t="n">
        <v>7</v>
      </c>
      <c r="B40" s="43" t="inlineStr">
        <is>
          <t>Esposito F.P.</t>
        </is>
      </c>
      <c r="C40" s="35" t="inlineStr">
        <is>
          <t>Inter</t>
        </is>
      </c>
      <c r="D40" s="10" t="n">
        <v>16</v>
      </c>
      <c r="E40" s="10" t="n">
        <v>93</v>
      </c>
      <c r="F40" s="35" t="inlineStr">
        <is>
          <t>Alta</t>
        </is>
      </c>
      <c r="G40" s="35" t="inlineStr">
        <is>
          <t>No</t>
        </is>
      </c>
      <c r="H40" s="36" t="inlineStr">
        <is>
          <t>Il futuro dell'Inter</t>
        </is>
      </c>
      <c r="I40" s="10" t="n">
        <v>70</v>
      </c>
      <c r="J40" s="36" t="inlineStr">
        <is>
          <t>Titolare alla 1ª con Bonny MA a secco nelle ultime 4 amichevoli e dietro Bonny in condizione: sconto rispetto all'hype.</t>
        </is>
      </c>
    </row>
    <row r="41">
      <c r="A41" s="37" t="n">
        <v>8</v>
      </c>
      <c r="B41" s="38" t="inlineStr">
        <is>
          <t>Laurientè</t>
        </is>
      </c>
      <c r="C41" s="39" t="inlineStr">
        <is>
          <t>Sassuolo</t>
        </is>
      </c>
      <c r="D41" s="40" t="n">
        <v>15</v>
      </c>
      <c r="E41" s="40" t="n">
        <v>88</v>
      </c>
      <c r="F41" s="39" t="inlineStr">
        <is>
          <t>Altissima</t>
        </is>
      </c>
      <c r="G41" s="39" t="inlineStr">
        <is>
          <t>No</t>
        </is>
      </c>
      <c r="H41" s="41" t="inlineStr">
        <is>
          <t>Vicino alla doppia cifra</t>
        </is>
      </c>
      <c r="I41" s="40" t="n">
        <v>65</v>
      </c>
      <c r="J41" s="41" t="inlineStr">
        <is>
          <t>Uno dei tre del Sassuolo che danno maggiori garanzie</t>
        </is>
      </c>
    </row>
    <row r="42">
      <c r="A42" s="42" t="n">
        <v>9</v>
      </c>
      <c r="B42" s="43" t="inlineStr">
        <is>
          <t>Leao</t>
        </is>
      </c>
      <c r="C42" s="35" t="inlineStr">
        <is>
          <t>Milan</t>
        </is>
      </c>
      <c r="D42" s="10" t="n">
        <v>18</v>
      </c>
      <c r="E42" s="10" t="n">
        <v>120</v>
      </c>
      <c r="F42" s="35" t="inlineStr">
        <is>
          <t>Rischio cessione ALTO</t>
        </is>
      </c>
      <c r="G42" s="35" t="inlineStr">
        <is>
          <t>No</t>
        </is>
      </c>
      <c r="H42" s="36" t="inlineStr">
        <is>
          <t>Bonus</t>
        </is>
      </c>
      <c r="I42" s="10" t="n">
        <v>40</v>
      </c>
      <c r="J42" s="36" t="inlineStr">
        <is>
          <t>Il Milan vuole cederlo (40-45M) e il muscolo fa crac: solo a forte sconto.</t>
        </is>
      </c>
    </row>
    <row r="43">
      <c r="A43" s="37" t="n">
        <v>10</v>
      </c>
      <c r="B43" s="38" t="inlineStr">
        <is>
          <t>Simeone</t>
        </is>
      </c>
      <c r="C43" s="39" t="inlineStr">
        <is>
          <t>Torino</t>
        </is>
      </c>
      <c r="D43" s="40" t="n">
        <v>15</v>
      </c>
      <c r="E43" s="40" t="n">
        <v>82</v>
      </c>
      <c r="F43" s="39" t="inlineStr">
        <is>
          <t>Altissima</t>
        </is>
      </c>
      <c r="G43" s="39" t="inlineStr">
        <is>
          <t>No</t>
        </is>
      </c>
      <c r="H43" s="41" t="inlineStr">
        <is>
          <t>Garra e gol nel Torino</t>
        </is>
      </c>
      <c r="I43" s="40" t="n">
        <v>60</v>
      </c>
      <c r="J43" s="41" t="inlineStr">
        <is>
          <t>Certezza (70/30, Zapata non convocato) e 1 giallo in 32 presenze: voti, gol e fairplay.</t>
        </is>
      </c>
    </row>
    <row r="44">
      <c r="A44" s="42" t="n">
        <v>11</v>
      </c>
      <c r="B44" s="43" t="inlineStr">
        <is>
          <t>Pellegrino M.</t>
        </is>
      </c>
      <c r="C44" s="35" t="inlineStr">
        <is>
          <t>Parma</t>
        </is>
      </c>
      <c r="D44" s="10" t="n">
        <v>15</v>
      </c>
      <c r="E44" s="10" t="n">
        <v>81</v>
      </c>
      <c r="F44" s="35" t="inlineStr">
        <is>
          <t>Fiorentina (UFFICIALE)</t>
        </is>
      </c>
      <c r="G44" s="35" t="inlineStr">
        <is>
          <t>Sì</t>
        </is>
      </c>
      <c r="H44" s="36" t="inlineStr">
        <is>
          <t>Rigorista del Parma</t>
        </is>
      </c>
      <c r="I44" s="10" t="n">
        <v>10</v>
      </c>
      <c r="J44" s="36" t="inlineStr">
        <is>
          <t>UFFICIALE alla Fiorentina (25M): alla 1ª indisponibile e alla Viola parte DIETRO Kean (90/10). Lasciarlo.</t>
        </is>
      </c>
    </row>
    <row r="45"/>
    <row r="46">
      <c r="A46" s="1" t="inlineStr">
        <is>
          <t>SLOT A4 — Terzo slot (8-10 gol) · budget consigliato: 45</t>
        </is>
      </c>
    </row>
    <row r="47" ht="28" customHeight="1">
      <c r="A47" s="46" t="inlineStr">
        <is>
          <t>Priorità</t>
        </is>
      </c>
      <c r="B47" s="46" t="inlineStr">
        <is>
          <t>Giocatore</t>
        </is>
      </c>
      <c r="C47" s="46" t="inlineStr">
        <is>
          <t>Squadra</t>
        </is>
      </c>
      <c r="D47" s="46" t="inlineStr">
        <is>
          <t>Qt.A</t>
        </is>
      </c>
      <c r="E47" s="46" t="inlineStr">
        <is>
          <t>FVM</t>
        </is>
      </c>
      <c r="F47" s="46" t="inlineStr">
        <is>
          <t>Titolarità</t>
        </is>
      </c>
      <c r="G47" s="46" t="inlineStr">
        <is>
          <t>Rigorista</t>
        </is>
      </c>
      <c r="H47" s="46" t="inlineStr">
        <is>
          <t>Bonus attesi / punti di forza</t>
        </is>
      </c>
      <c r="I47" s="46" t="inlineStr">
        <is>
          <t>Prezzo max</t>
        </is>
      </c>
      <c r="J47" s="46" t="inlineStr">
        <is>
          <t>Note</t>
        </is>
      </c>
    </row>
    <row r="48" ht="26" customHeight="1">
      <c r="A48" s="16" t="n">
        <v>1</v>
      </c>
      <c r="B48" s="5" t="inlineStr">
        <is>
          <t>Dybala</t>
        </is>
      </c>
      <c r="C48" s="35" t="inlineStr">
        <is>
          <t>Roma</t>
        </is>
      </c>
      <c r="D48" s="10" t="n">
        <v>14</v>
      </c>
      <c r="E48" s="10" t="n">
        <v>67</v>
      </c>
      <c r="F48" s="35" t="inlineStr">
        <is>
          <t>Alta (gestione)</t>
        </is>
      </c>
      <c r="G48" s="35" t="inlineStr">
        <is>
          <t>Alternativa</t>
        </is>
      </c>
      <c r="H48" s="36" t="inlineStr">
        <is>
          <t>Gol+assist quando gioca</t>
        </is>
      </c>
      <c r="I48" s="10" t="n">
        <v>50</v>
      </c>
      <c r="J48" s="36" t="inlineStr">
        <is>
          <t>Titolare in TUTTE le probabili (e con Soulè in uscita si blinda): piazzati suoi, rigori a Malen. Fisico permettendo.</t>
        </is>
      </c>
    </row>
    <row r="49" ht="26" customHeight="1">
      <c r="A49" s="37" t="n">
        <v>2</v>
      </c>
      <c r="B49" s="38" t="inlineStr">
        <is>
          <t>Castro S.</t>
        </is>
      </c>
      <c r="C49" s="39" t="inlineStr">
        <is>
          <t>Roma</t>
        </is>
      </c>
      <c r="D49" s="40" t="n">
        <v>14</v>
      </c>
      <c r="E49" s="40" t="n">
        <v>81</v>
      </c>
      <c r="F49" s="39" t="inlineStr">
        <is>
          <t>Alta (rotazioni)</t>
        </is>
      </c>
      <c r="G49" s="39" t="inlineStr">
        <is>
          <t>No</t>
        </is>
      </c>
      <c r="H49" s="41" t="inlineStr">
        <is>
          <t>Fiuto del gol</t>
        </is>
      </c>
      <c r="I49" s="40" t="n">
        <v>48</v>
      </c>
      <c r="J49" s="41" t="inlineStr">
        <is>
          <t>È l'ALTERNATIVA a Malen (30%), non il titolare: pagalo da co-titolare.</t>
        </is>
      </c>
    </row>
    <row r="50">
      <c r="A50" s="42" t="n">
        <v>3</v>
      </c>
      <c r="B50" s="43" t="inlineStr">
        <is>
          <t>Nkunku</t>
        </is>
      </c>
      <c r="C50" s="35" t="inlineStr">
        <is>
          <t>Milan</t>
        </is>
      </c>
      <c r="D50" s="10" t="n">
        <v>13</v>
      </c>
      <c r="E50" s="10" t="n">
        <v>52</v>
      </c>
      <c r="F50" s="35" t="inlineStr">
        <is>
          <t>Alta</t>
        </is>
      </c>
      <c r="G50" s="35" t="inlineStr">
        <is>
          <t>Conteso (fonti fresche: Ramos)</t>
        </is>
      </c>
      <c r="H50" s="36" t="inlineStr">
        <is>
          <t>Infallibile dal dischetto nel 25/26</t>
        </is>
      </c>
      <c r="I50" s="10" t="n">
        <v>40</v>
      </c>
      <c r="J50" s="36" t="inlineStr">
        <is>
          <t>'Unico sicuro del posto' sulla trequarti + 0 cartellini MA rigori contesi con Ramos e ipotesi scambio con Soulè (14/8): semi-top con riserva.</t>
        </is>
      </c>
    </row>
    <row r="51">
      <c r="A51" s="37" t="n">
        <v>4</v>
      </c>
      <c r="B51" s="38" t="inlineStr">
        <is>
          <t>Tourè E.</t>
        </is>
      </c>
      <c r="C51" s="39" t="inlineStr">
        <is>
          <t>Parma</t>
        </is>
      </c>
      <c r="D51" s="40" t="n">
        <v>11</v>
      </c>
      <c r="E51" s="40" t="n">
        <v>43</v>
      </c>
      <c r="F51" s="39" t="inlineStr">
        <is>
          <t>Titolare e rigorista</t>
        </is>
      </c>
      <c r="G51" s="39" t="inlineStr">
        <is>
          <t>Sì (3/3)</t>
        </is>
      </c>
      <c r="H51" s="41" t="inlineStr">
        <is>
          <t>Scommessa nel Parma</t>
        </is>
      </c>
      <c r="I51" s="40" t="n">
        <v>15</v>
      </c>
      <c r="J51" s="41" t="inlineStr">
        <is>
          <t>PROMOSSO: Pellegrino ufficiale alla Viola → è il 9 (6/7 probabili) e rigorista del Parma. Comprare prima che il prezzo salga.</t>
        </is>
      </c>
    </row>
    <row r="52">
      <c r="A52" s="42" t="n">
        <v>5</v>
      </c>
      <c r="B52" s="43" t="inlineStr">
        <is>
          <t>Raspadori</t>
        </is>
      </c>
      <c r="C52" s="35" t="inlineStr">
        <is>
          <t>Atalanta</t>
        </is>
      </c>
      <c r="D52" s="10" t="n">
        <v>13</v>
      </c>
      <c r="E52" s="10" t="n">
        <v>62</v>
      </c>
      <c r="F52" s="35" t="inlineStr">
        <is>
          <t>Alta</t>
        </is>
      </c>
      <c r="G52" s="35" t="inlineStr">
        <is>
          <t>No</t>
        </is>
      </c>
      <c r="H52" s="36" t="inlineStr">
        <is>
          <t>Parecchi bonus con CDK</t>
        </is>
      </c>
      <c r="I52" s="10" t="n">
        <v>42</v>
      </c>
      <c r="J52" s="36" t="inlineStr">
        <is>
          <t>Titolare a sinistra per 5 fonti su 6 ma fantacalcio.it inverte con Zalewski (55/45): upgrade con cautela.</t>
        </is>
      </c>
    </row>
    <row r="53">
      <c r="A53" s="37" t="n">
        <v>6</v>
      </c>
      <c r="B53" s="38" t="inlineStr">
        <is>
          <t>Pinamonti</t>
        </is>
      </c>
      <c r="C53" s="39" t="inlineStr">
        <is>
          <t>Sassuolo</t>
        </is>
      </c>
      <c r="D53" s="40" t="n">
        <v>13</v>
      </c>
      <c r="E53" s="40" t="n">
        <v>55</v>
      </c>
      <c r="F53" s="39" t="inlineStr">
        <is>
          <t>Trattativa Lazio rallentata</t>
        </is>
      </c>
      <c r="G53" s="39" t="inlineStr">
        <is>
          <t>Alternativa</t>
        </is>
      </c>
      <c r="H53" s="41" t="inlineStr">
        <is>
          <t>Doppia cifra possibile</t>
        </is>
      </c>
      <c r="I53" s="40" t="n">
        <v>40</v>
      </c>
      <c r="J53" s="41" t="inlineStr">
        <is>
          <t>Distanza su formula e prezzo (il Sassuolo non scende da 15M): rischio addio reale ma non imminente. Nelle probabili è ancora il 9 del Sassuolo.</t>
        </is>
      </c>
    </row>
    <row r="54">
      <c r="A54" s="42" t="n">
        <v>7</v>
      </c>
      <c r="B54" s="43" t="inlineStr">
        <is>
          <t>Esposito Se.</t>
        </is>
      </c>
      <c r="C54" s="35" t="inlineStr">
        <is>
          <t>Cagliari</t>
        </is>
      </c>
      <c r="D54" s="10" t="n">
        <v>13</v>
      </c>
      <c r="E54" s="10" t="n">
        <v>50</v>
      </c>
      <c r="F54" s="35" t="inlineStr">
        <is>
          <t>Altissima</t>
        </is>
      </c>
      <c r="G54" s="35" t="inlineStr">
        <is>
          <t>No</t>
        </is>
      </c>
      <c r="H54" s="36" t="inlineStr">
        <is>
          <t>Titolarissimo a Cagliari</t>
        </is>
      </c>
      <c r="I54" s="10" t="n">
        <v>40</v>
      </c>
      <c r="J54" s="36" t="inlineStr">
        <is>
          <t>GUERRA col club: secondo certificato medico (altri 15 giorni), distanza Atalanta enorme. NON comprare.</t>
        </is>
      </c>
    </row>
    <row r="55">
      <c r="A55" s="37" t="n">
        <v>8</v>
      </c>
      <c r="B55" s="38" t="inlineStr">
        <is>
          <t>Kevin Carlos</t>
        </is>
      </c>
      <c r="C55" s="39" t="inlineStr">
        <is>
          <t>Cagliari</t>
        </is>
      </c>
      <c r="D55" s="40" t="n">
        <v>13</v>
      </c>
      <c r="E55" s="40" t="n">
        <v>47</v>
      </c>
      <c r="F55" s="39" t="inlineStr">
        <is>
          <t>Titolare (65%)</t>
        </is>
      </c>
      <c r="G55" s="39" t="inlineStr">
        <is>
          <t>1° per Fantacalcio.it</t>
        </is>
      </c>
      <c r="H55" s="41" t="inlineStr">
        <is>
          <t>Fisico da bomber</t>
        </is>
      </c>
      <c r="I55" s="40" t="n">
        <v>12</v>
      </c>
      <c r="J55" s="41" t="inlineStr">
        <is>
          <t>Fantacalcio.it lo dà 1° RIGORISTA (Maldini 2°), FantaMaster il contrario: gerarchia da verificare all'ultimo. A Qt 13 scommessa-rigori vera.</t>
        </is>
      </c>
    </row>
    <row r="56">
      <c r="A56" s="42" t="n">
        <v>9</v>
      </c>
      <c r="B56" s="43" t="inlineStr">
        <is>
          <t>Soulè</t>
        </is>
      </c>
      <c r="C56" s="35" t="inlineStr">
        <is>
          <t>Roma</t>
        </is>
      </c>
      <c r="D56" s="10" t="n">
        <v>12</v>
      </c>
      <c r="E56" s="10" t="n">
        <v>53</v>
      </c>
      <c r="F56" s="35" t="inlineStr">
        <is>
          <t>Rischio cessione</t>
        </is>
      </c>
      <c r="G56" s="35" t="inlineStr">
        <is>
          <t>Alternativa</t>
        </is>
      </c>
      <c r="H56" s="36" t="inlineStr">
        <is>
          <t>Gol+assist</t>
        </is>
      </c>
      <c r="I56" s="10" t="n">
        <v>38</v>
      </c>
      <c r="J56" s="36" t="inlineStr">
        <is>
          <t>Ipotesi SCAMBIO col Milan (per Nkunku), Gala in agguato, la Roma deve cedere per il FFP: nelle probabili è titolare, ma solo con sconto-mercato.</t>
        </is>
      </c>
    </row>
    <row r="57">
      <c r="A57" s="37" t="n">
        <v>10</v>
      </c>
      <c r="B57" s="38" t="inlineStr">
        <is>
          <t>Adams A.</t>
        </is>
      </c>
      <c r="C57" s="39" t="inlineStr">
        <is>
          <t>Venezia</t>
        </is>
      </c>
      <c r="D57" s="40" t="n">
        <v>12</v>
      </c>
      <c r="E57" s="40" t="n">
        <v>51</v>
      </c>
      <c r="F57" s="39" t="inlineStr">
        <is>
          <t>Altissima</t>
        </is>
      </c>
      <c r="G57" s="39" t="inlineStr">
        <is>
          <t>No</t>
        </is>
      </c>
      <c r="H57" s="41" t="inlineStr">
        <is>
          <t>10 gol nella Liga col Siviglia</t>
        </is>
      </c>
      <c r="I57" s="40" t="n">
        <v>18</v>
      </c>
      <c r="J57" s="41" t="inlineStr">
        <is>
          <t>Coppia con Yeboah CONFERMATA (7/7) e rigori in alternanza — ma BRUCIATO: alzare il budget.</t>
        </is>
      </c>
    </row>
    <row r="58">
      <c r="A58" s="42" t="n">
        <v>11</v>
      </c>
      <c r="B58" s="43" t="inlineStr">
        <is>
          <t>Santos A.</t>
        </is>
      </c>
      <c r="C58" s="35" t="inlineStr">
        <is>
          <t>Napoli</t>
        </is>
      </c>
      <c r="D58" s="10" t="n">
        <v>14</v>
      </c>
      <c r="E58" s="10" t="n">
        <v>57</v>
      </c>
      <c r="F58" s="35" t="inlineStr">
        <is>
          <t>Alta</t>
        </is>
      </c>
      <c r="G58" s="35" t="inlineStr">
        <is>
          <t>No</t>
        </is>
      </c>
      <c r="H58" s="36" t="inlineStr">
        <is>
          <t>Anche da attaccante ottima chiamata</t>
        </is>
      </c>
      <c r="I58" s="10" t="n">
        <v>35</v>
      </c>
      <c r="J58" s="36" t="inlineStr">
        <is>
          <t>Cambio ruolo C→A svantaggioso MA titolare per fantacalcio.it alla 1ª (Neres out): interessante solo per l'avvio.</t>
        </is>
      </c>
    </row>
    <row r="59"/>
    <row r="60">
      <c r="A60" s="1" t="inlineStr">
        <is>
          <t>SLOT A5 — Quarto slot da alternare · budget consigliato: 20</t>
        </is>
      </c>
    </row>
    <row r="61" ht="28" customHeight="1">
      <c r="A61" s="46" t="inlineStr">
        <is>
          <t>Priorità</t>
        </is>
      </c>
      <c r="B61" s="46" t="inlineStr">
        <is>
          <t>Giocatore</t>
        </is>
      </c>
      <c r="C61" s="46" t="inlineStr">
        <is>
          <t>Squadra</t>
        </is>
      </c>
      <c r="D61" s="46" t="inlineStr">
        <is>
          <t>Qt.A</t>
        </is>
      </c>
      <c r="E61" s="46" t="inlineStr">
        <is>
          <t>FVM</t>
        </is>
      </c>
      <c r="F61" s="46" t="inlineStr">
        <is>
          <t>Titolarità</t>
        </is>
      </c>
      <c r="G61" s="46" t="inlineStr">
        <is>
          <t>Rigorista</t>
        </is>
      </c>
      <c r="H61" s="46" t="inlineStr">
        <is>
          <t>Bonus attesi / punti di forza</t>
        </is>
      </c>
      <c r="I61" s="46" t="inlineStr">
        <is>
          <t>Prezzo max</t>
        </is>
      </c>
      <c r="J61" s="46" t="inlineStr">
        <is>
          <t>Note</t>
        </is>
      </c>
    </row>
    <row r="62">
      <c r="A62" s="16" t="n">
        <v>1</v>
      </c>
      <c r="B62" s="5" t="inlineStr">
        <is>
          <t>Colombo</t>
        </is>
      </c>
      <c r="C62" s="35" t="inlineStr">
        <is>
          <t>Genoa</t>
        </is>
      </c>
      <c r="D62" s="10" t="n">
        <v>11</v>
      </c>
      <c r="E62" s="10" t="n">
        <v>63</v>
      </c>
      <c r="F62" s="35" t="inlineStr">
        <is>
          <t>Altissima</t>
        </is>
      </c>
      <c r="G62" s="35" t="inlineStr">
        <is>
          <t>Sì (blindato)</t>
        </is>
      </c>
      <c r="H62" s="36" t="inlineStr">
        <is>
          <t>Titolare + 1° rigorista del Genoa</t>
        </is>
      </c>
      <c r="I62" s="10" t="n">
        <v>38</v>
      </c>
      <c r="J62" s="36" t="inlineStr">
        <is>
          <t>'Titolare designato e rigorista, credenziali da doppia cifra' (FantaMaster) + 2 soli gialli in 38: bonus, posto E fairplay. Vale uno slot sopra.</t>
        </is>
      </c>
    </row>
    <row r="63">
      <c r="A63" s="37" t="n">
        <v>2</v>
      </c>
      <c r="B63" s="38" t="inlineStr">
        <is>
          <t>Diao</t>
        </is>
      </c>
      <c r="C63" s="39" t="inlineStr">
        <is>
          <t>Como</t>
        </is>
      </c>
      <c r="D63" s="40" t="n">
        <v>11</v>
      </c>
      <c r="E63" s="40" t="n">
        <v>50</v>
      </c>
      <c r="F63" s="39" t="inlineStr">
        <is>
          <t>Alta</t>
        </is>
      </c>
      <c r="G63" s="39" t="inlineStr">
        <is>
          <t>No</t>
        </is>
      </c>
      <c r="H63" s="41" t="inlineStr">
        <is>
          <t>Può ritrovare continuità e bonus</t>
        </is>
      </c>
      <c r="I63" s="40" t="n">
        <v>25</v>
      </c>
      <c r="J63" s="41" t="inlineStr">
        <is>
          <t>Nel Como di Fabregas gli spazi non mancano</t>
        </is>
      </c>
    </row>
    <row r="64">
      <c r="A64" s="42" t="n">
        <v>3</v>
      </c>
      <c r="B64" s="43" t="inlineStr">
        <is>
          <t>Cutrone</t>
        </is>
      </c>
      <c r="C64" s="35" t="inlineStr">
        <is>
          <t>Monza</t>
        </is>
      </c>
      <c r="D64" s="10" t="n">
        <v>9</v>
      </c>
      <c r="E64" s="10" t="n">
        <v>33</v>
      </c>
      <c r="F64" s="35" t="inlineStr">
        <is>
          <t>Altissima</t>
        </is>
      </c>
      <c r="G64" s="35" t="inlineStr">
        <is>
          <t>Sì (eredita da Pessina)</t>
        </is>
      </c>
      <c r="H64" s="36" t="inlineStr">
        <is>
          <t>Può fare come il primo anno al Como</t>
        </is>
      </c>
      <c r="I64" s="10" t="n">
        <v>12</v>
      </c>
      <c r="J64" s="36" t="inlineStr">
        <is>
          <t>PROMOSSO: con Pessina operato eredita i RIGORI del Monza, 0 cartellini nel 25/26. Da low cost a semi-gem.</t>
        </is>
      </c>
    </row>
    <row r="65">
      <c r="A65" s="37" t="n">
        <v>4</v>
      </c>
      <c r="B65" s="38" t="inlineStr">
        <is>
          <t>Adams A.</t>
        </is>
      </c>
      <c r="C65" s="39" t="inlineStr">
        <is>
          <t>Venezia</t>
        </is>
      </c>
      <c r="D65" s="40" t="n">
        <v>12</v>
      </c>
      <c r="E65" s="40" t="n">
        <v>51</v>
      </c>
      <c r="F65" s="39" t="inlineStr">
        <is>
          <t>Titolare (acquisto record)</t>
        </is>
      </c>
      <c r="G65" s="39" t="inlineStr">
        <is>
          <t>Sì (3/3, alternanza Rrahmani)</t>
        </is>
      </c>
      <c r="H65" s="41" t="inlineStr">
        <is>
          <t>10 gol in Liga col Siviglia</t>
        </is>
      </c>
      <c r="I65" s="40" t="n">
        <v>18</v>
      </c>
      <c r="J65" s="41" t="inlineStr">
        <is>
          <t>Titolare fisso e rigorista in alternanza: ormai in tutte le guide, prezzo da neopromossa finito.</t>
        </is>
      </c>
    </row>
    <row r="66">
      <c r="A66" s="42" t="n">
        <v>5</v>
      </c>
      <c r="B66" s="43" t="inlineStr">
        <is>
          <t>Bonny</t>
        </is>
      </c>
      <c r="C66" s="35" t="inlineStr">
        <is>
          <t>Inter</t>
        </is>
      </c>
      <c r="D66" s="10" t="n">
        <v>7</v>
      </c>
      <c r="E66" s="10" t="n">
        <v>21</v>
      </c>
      <c r="F66" s="35" t="inlineStr">
        <is>
          <t>Alta (rotazioni)</t>
        </is>
      </c>
      <c r="G66" s="35" t="inlineStr">
        <is>
          <t>No</t>
        </is>
      </c>
      <c r="H66" s="36" t="inlineStr">
        <is>
          <t>Quarta punta di lusso Inter</t>
        </is>
      </c>
      <c r="I66" s="10" t="n">
        <v>18</v>
      </c>
      <c r="J66" s="36" t="inlineStr">
        <is>
          <t>Titolare alla 1ª e 'già in palla', più avanti di Esposito: avvio garantito a Qt 7.</t>
        </is>
      </c>
    </row>
    <row r="67">
      <c r="A67" s="37" t="n">
        <v>6</v>
      </c>
      <c r="B67" s="38" t="inlineStr">
        <is>
          <t>Stulic</t>
        </is>
      </c>
      <c r="C67" s="39" t="inlineStr">
        <is>
          <t>Lecce</t>
        </is>
      </c>
      <c r="D67" s="40" t="n">
        <v>7</v>
      </c>
      <c r="E67" s="40" t="n">
        <v>18</v>
      </c>
      <c r="F67" s="39" t="inlineStr">
        <is>
          <t>Altissima</t>
        </is>
      </c>
      <c r="G67" s="39" t="inlineStr">
        <is>
          <t>Sì</t>
        </is>
      </c>
      <c r="H67" s="41" t="inlineStr">
        <is>
          <t>Rigorista del Lecce</t>
        </is>
      </c>
      <c r="I67" s="40" t="n">
        <v>16</v>
      </c>
      <c r="J67" s="41" t="inlineStr">
        <is>
          <t>Dovrebbe prendersi la responsabilità dal dischetto</t>
        </is>
      </c>
    </row>
    <row r="68">
      <c r="A68" s="42" t="n">
        <v>7</v>
      </c>
      <c r="B68" s="43" t="inlineStr">
        <is>
          <t>Zapata D.</t>
        </is>
      </c>
      <c r="C68" s="35" t="inlineStr">
        <is>
          <t>Torino</t>
        </is>
      </c>
      <c r="D68" s="10" t="n">
        <v>7</v>
      </c>
      <c r="E68" s="10" t="n">
        <v>18</v>
      </c>
      <c r="F68" s="35" t="inlineStr">
        <is>
          <t>Alta</t>
        </is>
      </c>
      <c r="G68" s="35" t="inlineStr">
        <is>
          <t>No</t>
        </is>
      </c>
      <c r="H68" s="36" t="inlineStr">
        <is>
          <t>Usato sicuro</t>
        </is>
      </c>
      <c r="I68" s="10" t="n">
        <v>15</v>
      </c>
      <c r="J68" s="36" t="inlineStr">
        <is>
          <t>Non convocato in Coppa, dietro Simeone e Adams: lasciarlo.</t>
        </is>
      </c>
    </row>
    <row r="69">
      <c r="A69" s="37" t="n">
        <v>8</v>
      </c>
      <c r="B69" s="38" t="inlineStr">
        <is>
          <t>Yeboah J.</t>
        </is>
      </c>
      <c r="C69" s="39" t="inlineStr">
        <is>
          <t>Venezia</t>
        </is>
      </c>
      <c r="D69" s="40" t="n">
        <v>8</v>
      </c>
      <c r="E69" s="40" t="n">
        <v>28</v>
      </c>
      <c r="F69" s="39" t="inlineStr">
        <is>
          <t>Altissima</t>
        </is>
      </c>
      <c r="G69" s="39" t="inlineStr">
        <is>
          <t>Sì</t>
        </is>
      </c>
      <c r="H69" s="41" t="inlineStr">
        <is>
          <t>Rigorista del Venezia</t>
        </is>
      </c>
      <c r="I69" s="40" t="n">
        <v>15</v>
      </c>
      <c r="J69" s="41" t="inlineStr">
        <is>
          <t>Sicuro titolare e protagonista in B: batterà anche i rigori</t>
        </is>
      </c>
    </row>
    <row r="70">
      <c r="A70" s="42" t="n">
        <v>9</v>
      </c>
      <c r="B70" s="43" t="inlineStr">
        <is>
          <t>David</t>
        </is>
      </c>
      <c r="C70" s="35" t="inlineStr">
        <is>
          <t>Juventus</t>
        </is>
      </c>
      <c r="D70" s="10" t="n">
        <v>9</v>
      </c>
      <c r="E70" s="10" t="n">
        <v>40</v>
      </c>
      <c r="F70" s="35" t="inlineStr">
        <is>
          <t>Ballottaggio</t>
        </is>
      </c>
      <c r="G70" s="35" t="inlineStr">
        <is>
          <t>No</t>
        </is>
      </c>
      <c r="H70" s="36" t="inlineStr">
        <is>
          <t>Qualità da doppia cifra</t>
        </is>
      </c>
      <c r="I70" s="10" t="n">
        <v>15</v>
      </c>
      <c r="J70" s="36" t="inlineStr">
        <is>
          <t>PSG concreto ma LUI vuole restare: rischio 'resta e non gioca' immutato (75/25 per Kolo Muani). Lasciarlo.</t>
        </is>
      </c>
    </row>
    <row r="71">
      <c r="A71" s="37" t="n">
        <v>10</v>
      </c>
      <c r="B71" s="38" t="inlineStr">
        <is>
          <t>Bowie</t>
        </is>
      </c>
      <c r="C71" s="39" t="inlineStr">
        <is>
          <t>Sassuolo</t>
        </is>
      </c>
      <c r="D71" s="40" t="n">
        <v>10</v>
      </c>
      <c r="E71" s="40" t="n">
        <v>39</v>
      </c>
      <c r="F71" s="39" t="inlineStr">
        <is>
          <t>Ballottaggio</t>
        </is>
      </c>
      <c r="G71" s="39" t="inlineStr">
        <is>
          <t>No</t>
        </is>
      </c>
      <c r="H71" s="41" t="inlineStr">
        <is>
          <t>Personalità per ritagliarsi spazio</t>
        </is>
      </c>
      <c r="I71" s="40" t="n">
        <v>14</v>
      </c>
      <c r="J71" s="41" t="inlineStr">
        <is>
          <t>Diventa il 9 solo se Pinamonti parte davvero (trattativa rallentata): scommessa condizionata, verificare al 1/9.</t>
        </is>
      </c>
    </row>
    <row r="72">
      <c r="A72" s="42" t="n">
        <v>11</v>
      </c>
      <c r="B72" s="43" t="inlineStr">
        <is>
          <t>Vitinha O.</t>
        </is>
      </c>
      <c r="C72" s="35" t="inlineStr">
        <is>
          <t>Genoa</t>
        </is>
      </c>
      <c r="D72" s="10" t="n">
        <v>8</v>
      </c>
      <c r="E72" s="10" t="n">
        <v>20</v>
      </c>
      <c r="F72" s="35" t="inlineStr">
        <is>
          <t>Alta</t>
        </is>
      </c>
      <c r="G72" s="35" t="inlineStr">
        <is>
          <t>No</t>
        </is>
      </c>
      <c r="H72" s="36" t="inlineStr">
        <is>
          <t>Titolare Genoa</t>
        </is>
      </c>
      <c r="I72" s="10" t="n">
        <v>14</v>
      </c>
      <c r="J72" s="36" t="inlineStr">
        <is>
          <t>Con Colombo nel nuovo attacco rossoblù</t>
        </is>
      </c>
    </row>
    <row r="73"/>
    <row r="74">
      <c r="A74" s="1" t="inlineStr">
        <is>
          <t>SLOT A6 — Scommessa / colpo a 1-10 · budget consigliato: 10</t>
        </is>
      </c>
    </row>
    <row r="75" ht="28" customHeight="1">
      <c r="A75" s="46" t="inlineStr">
        <is>
          <t>Priorità</t>
        </is>
      </c>
      <c r="B75" s="46" t="inlineStr">
        <is>
          <t>Giocatore</t>
        </is>
      </c>
      <c r="C75" s="46" t="inlineStr">
        <is>
          <t>Squadra</t>
        </is>
      </c>
      <c r="D75" s="46" t="inlineStr">
        <is>
          <t>Qt.A</t>
        </is>
      </c>
      <c r="E75" s="46" t="inlineStr">
        <is>
          <t>FVM</t>
        </is>
      </c>
      <c r="F75" s="46" t="inlineStr">
        <is>
          <t>Titolarità</t>
        </is>
      </c>
      <c r="G75" s="46" t="inlineStr">
        <is>
          <t>Rigorista</t>
        </is>
      </c>
      <c r="H75" s="46" t="inlineStr">
        <is>
          <t>Bonus attesi / punti di forza</t>
        </is>
      </c>
      <c r="I75" s="46" t="inlineStr">
        <is>
          <t>Prezzo max</t>
        </is>
      </c>
      <c r="J75" s="46" t="inlineStr">
        <is>
          <t>Note</t>
        </is>
      </c>
    </row>
    <row r="76">
      <c r="A76" s="16" t="n">
        <v>1</v>
      </c>
      <c r="B76" s="5" t="inlineStr">
        <is>
          <t>Ghedjemis</t>
        </is>
      </c>
      <c r="C76" s="35" t="inlineStr">
        <is>
          <t>Frosinone</t>
        </is>
      </c>
      <c r="D76" s="10" t="n">
        <v>9</v>
      </c>
      <c r="E76" s="10" t="n">
        <v>30</v>
      </c>
      <c r="F76" s="35" t="inlineStr">
        <is>
          <t>Altissima</t>
        </is>
      </c>
      <c r="G76" s="35" t="inlineStr">
        <is>
          <t>No (2° sui piazzati)</t>
        </is>
      </c>
      <c r="H76" s="36" t="inlineStr">
        <is>
          <t>15 gol + 3 assist in B da esterno</t>
        </is>
      </c>
      <c r="I76" s="10" t="n">
        <v>15</v>
      </c>
      <c r="J76" s="36" t="inlineStr">
        <is>
          <t>Titolare nel 4-3-3 confermato ma BRUCIATO (2 TOP del Frosinone per FantaMaster): budget su.</t>
        </is>
      </c>
    </row>
    <row r="77">
      <c r="A77" s="37" t="n">
        <v>2</v>
      </c>
      <c r="B77" s="38" t="inlineStr">
        <is>
          <t>Yeboah J.</t>
        </is>
      </c>
      <c r="C77" s="39" t="inlineStr">
        <is>
          <t>Venezia</t>
        </is>
      </c>
      <c r="D77" s="40" t="n">
        <v>8</v>
      </c>
      <c r="E77" s="40" t="n">
        <v>28</v>
      </c>
      <c r="F77" s="39" t="inlineStr">
        <is>
          <t>Altissima</t>
        </is>
      </c>
      <c r="G77" s="39" t="inlineStr">
        <is>
          <t>Sì</t>
        </is>
      </c>
      <c r="H77" s="41" t="inlineStr">
        <is>
          <t>Rigori Venezia</t>
        </is>
      </c>
      <c r="I77" s="40" t="n">
        <v>15</v>
      </c>
      <c r="J77" s="41" t="inlineStr">
        <is>
          <t>Se non preso come A5</t>
        </is>
      </c>
    </row>
    <row r="78">
      <c r="A78" s="42" t="n">
        <v>3</v>
      </c>
      <c r="B78" s="43" t="inlineStr">
        <is>
          <t>Maldini</t>
        </is>
      </c>
      <c r="C78" s="35" t="inlineStr">
        <is>
          <t>Cagliari</t>
        </is>
      </c>
      <c r="D78" s="10" t="n">
        <v>5</v>
      </c>
      <c r="E78" s="10" t="n">
        <v>14</v>
      </c>
      <c r="F78" s="35" t="inlineStr">
        <is>
          <t>Altissima</t>
        </is>
      </c>
      <c r="G78" s="35" t="inlineStr">
        <is>
          <t>Conteso con Kevin Carlos</t>
        </is>
      </c>
      <c r="H78" s="36" t="inlineStr">
        <is>
          <t>Titolarissimo a Cagliari</t>
        </is>
      </c>
      <c r="I78" s="10" t="n">
        <v>10</v>
      </c>
      <c r="J78" s="36" t="inlineStr">
        <is>
          <t>Titolare in 7/7 fonti — la certezza del Cagliari — ma rigori CONTESI (Fantacalcio.it dà Kevin Carlos): pagare titolarità + punizioni, il premio rigori a metà.</t>
        </is>
      </c>
    </row>
    <row r="79">
      <c r="A79" s="37" t="n">
        <v>4</v>
      </c>
      <c r="B79" s="38" t="inlineStr">
        <is>
          <t>Tourè E.</t>
        </is>
      </c>
      <c r="C79" s="39" t="inlineStr">
        <is>
          <t>Parma</t>
        </is>
      </c>
      <c r="D79" s="40" t="n">
        <v>11</v>
      </c>
      <c r="E79" s="40" t="n">
        <v>43</v>
      </c>
      <c r="F79" s="39" t="inlineStr">
        <is>
          <t>Titolare e rigorista</t>
        </is>
      </c>
      <c r="G79" s="39" t="inlineStr">
        <is>
          <t>Sì (3/3)</t>
        </is>
      </c>
      <c r="H79" s="41" t="inlineStr">
        <is>
          <t>Il 9 del Parma dopo Pellegrino</t>
        </is>
      </c>
      <c r="I79" s="40" t="n">
        <v>15</v>
      </c>
      <c r="J79" s="41" t="inlineStr">
        <is>
          <t>Il 9 del Parma con Pellegrino ufficialmente partito: rigori (3/3) e posto. Alzare il tetto.</t>
        </is>
      </c>
    </row>
    <row r="80">
      <c r="A80" s="42" t="n">
        <v>5</v>
      </c>
      <c r="B80" s="43" t="inlineStr">
        <is>
          <t>Camarda</t>
        </is>
      </c>
      <c r="C80" s="35" t="inlineStr">
        <is>
          <t>Milan</t>
        </is>
      </c>
      <c r="D80" s="10" t="n">
        <v>5</v>
      </c>
      <c r="E80" s="10" t="n">
        <v>18</v>
      </c>
      <c r="F80" s="35" t="inlineStr">
        <is>
          <t>Alta (rotazioni)</t>
        </is>
      </c>
      <c r="G80" s="35" t="inlineStr">
        <is>
          <t>No</t>
        </is>
      </c>
      <c r="H80" s="36" t="inlineStr">
        <is>
          <t>Il talento più atteso</t>
        </is>
      </c>
      <c r="I80" s="10" t="n">
        <v>8</v>
      </c>
      <c r="J80" s="36" t="inlineStr">
        <is>
          <t>Nel Milan avrà il suo spazio: colpo in prospettiva</t>
        </is>
      </c>
    </row>
    <row r="81">
      <c r="A81" s="37" t="n">
        <v>6</v>
      </c>
      <c r="B81" s="38" t="inlineStr">
        <is>
          <t>Boga</t>
        </is>
      </c>
      <c r="C81" s="39" t="inlineStr">
        <is>
          <t>Juventus</t>
        </is>
      </c>
      <c r="D81" s="40" t="n">
        <v>6</v>
      </c>
      <c r="E81" s="40" t="n">
        <v>25</v>
      </c>
      <c r="F81" s="39" t="inlineStr">
        <is>
          <t>Ballottaggio</t>
        </is>
      </c>
      <c r="G81" s="39" t="inlineStr">
        <is>
          <t>No</t>
        </is>
      </c>
      <c r="H81" s="41" t="inlineStr">
        <is>
          <t>Da schierare a prescindere</t>
        </is>
      </c>
      <c r="I81" s="40" t="n">
        <v>8</v>
      </c>
      <c r="J81" s="41" t="inlineStr">
        <is>
          <t>Alla Juventus da jolly offensivo (W;A)</t>
        </is>
      </c>
    </row>
    <row r="82">
      <c r="A82" s="42" t="n">
        <v>7</v>
      </c>
      <c r="B82" s="43" t="inlineStr">
        <is>
          <t>Raimondo</t>
        </is>
      </c>
      <c r="C82" s="35" t="inlineStr">
        <is>
          <t>Frosinone</t>
        </is>
      </c>
      <c r="D82" s="10" t="n">
        <v>7</v>
      </c>
      <c r="E82" s="10" t="n">
        <v>24</v>
      </c>
      <c r="F82" s="35" t="inlineStr">
        <is>
          <t>Altissima</t>
        </is>
      </c>
      <c r="G82" s="35" t="inlineStr">
        <is>
          <t>No</t>
        </is>
      </c>
      <c r="H82" s="36" t="inlineStr">
        <is>
          <t>11 gol in B, 3° marcatore tra le promosse</t>
        </is>
      </c>
      <c r="I82" s="10" t="n">
        <v>10</v>
      </c>
      <c r="J82" s="36" t="inlineStr">
        <is>
          <t>Punta centrale del 4-3-3 ciociaro, riscattata dal Bologna.</t>
        </is>
      </c>
    </row>
    <row r="83">
      <c r="A83" s="37" t="n">
        <v>8</v>
      </c>
      <c r="B83" s="38" t="inlineStr">
        <is>
          <t>Rrahmani Al.</t>
        </is>
      </c>
      <c r="C83" s="39" t="inlineStr">
        <is>
          <t>Venezia</t>
        </is>
      </c>
      <c r="D83" s="40" t="n">
        <v>8</v>
      </c>
      <c r="E83" s="40" t="n">
        <v>20</v>
      </c>
      <c r="F83" s="39" t="inlineStr">
        <is>
          <t>3ª opzione (30%)</t>
        </is>
      </c>
      <c r="G83" s="39" t="inlineStr">
        <is>
          <t>In alternanza con Adams</t>
        </is>
      </c>
      <c r="H83" s="41" t="inlineStr">
        <is>
          <t>15 gol con lo Sparta Praga</t>
        </is>
      </c>
      <c r="I83" s="40" t="n">
        <v>5</v>
      </c>
      <c r="J83" s="41" t="inlineStr">
        <is>
          <t>In alternanza-rigori con Adams e 3ª punta nelle gerarchie: ultimo slot con upside vero.</t>
        </is>
      </c>
    </row>
    <row r="84">
      <c r="A84" s="42" t="n">
        <v>9</v>
      </c>
      <c r="B84" s="43" t="inlineStr">
        <is>
          <t>Geubbels</t>
        </is>
      </c>
      <c r="C84" s="35" t="inlineStr">
        <is>
          <t>Lecce</t>
        </is>
      </c>
      <c r="D84" s="10" t="n">
        <v>9</v>
      </c>
      <c r="E84" s="10" t="n">
        <v>25</v>
      </c>
      <c r="F84" s="35" t="inlineStr">
        <is>
          <t>Alta</t>
        </is>
      </c>
      <c r="G84" s="35" t="inlineStr">
        <is>
          <t>No</t>
        </is>
      </c>
      <c r="H84" s="36" t="inlineStr">
        <is>
          <t>Fisicità nel Lecce</t>
        </is>
      </c>
      <c r="I84" s="10" t="n">
        <v>8</v>
      </c>
      <c r="J84" s="36" t="inlineStr">
        <is>
          <t>Confermato 70/30 su Stulic, 7/7 dal dischetto: oro semi-noto.</t>
        </is>
      </c>
    </row>
    <row r="85">
      <c r="A85" s="37" t="n">
        <v>10</v>
      </c>
      <c r="B85" s="38" t="inlineStr">
        <is>
          <t>Piccoli</t>
        </is>
      </c>
      <c r="C85" s="39" t="inlineStr">
        <is>
          <t>Fiorentina</t>
        </is>
      </c>
      <c r="D85" s="40" t="n">
        <v>8</v>
      </c>
      <c r="E85" s="40" t="n">
        <v>24</v>
      </c>
      <c r="F85" s="39" t="inlineStr">
        <is>
          <t>Alta (rotazioni)</t>
        </is>
      </c>
      <c r="G85" s="39" t="inlineStr">
        <is>
          <t>No</t>
        </is>
      </c>
      <c r="H85" s="41" t="inlineStr">
        <is>
          <t>Vice Kean di lusso</t>
        </is>
      </c>
      <c r="I85" s="40" t="n">
        <v>8</v>
      </c>
      <c r="J85" s="41" t="inlineStr">
        <is>
          <t>UFFICIALE al Bologna ma è il VICE-Dovbyk (30%), non trequartista: non pagarlo da titolare.</t>
        </is>
      </c>
    </row>
    <row r="86">
      <c r="A86" s="42" t="n">
        <v>11</v>
      </c>
      <c r="B86" s="43" t="inlineStr">
        <is>
          <t>Ratkov</t>
        </is>
      </c>
      <c r="C86" s="35" t="inlineStr">
        <is>
          <t>Lazio</t>
        </is>
      </c>
      <c r="D86" s="10" t="n">
        <v>10</v>
      </c>
      <c r="E86" s="10" t="n">
        <v>32</v>
      </c>
      <c r="F86" s="35" t="inlineStr">
        <is>
          <t>Conteso a 3 + mercato</t>
        </is>
      </c>
      <c r="G86" s="35" t="inlineStr">
        <is>
          <t>No</t>
        </is>
      </c>
      <c r="H86" s="36" t="inlineStr">
        <is>
          <t>Grande precampionato</t>
        </is>
      </c>
      <c r="I86" s="10" t="n">
        <v>8</v>
      </c>
      <c r="J86" s="36" t="inlineStr">
        <is>
          <t>EVITARE: posto conteso a tre (Ratkov/Dia/Noslin 40/30/30) e club che vuole cederlo (Dynamo Mosca).</t>
        </is>
      </c>
    </row>
    <row r="87">
      <c r="A87" t="n">
        <v>12</v>
      </c>
      <c r="B87" t="inlineStr">
        <is>
          <t>Mendy P.</t>
        </is>
      </c>
      <c r="C87" t="inlineStr">
        <is>
          <t>Cagliari</t>
        </is>
      </c>
      <c r="D87" t="n">
        <v>4</v>
      </c>
      <c r="E87" t="n">
        <v>9</v>
      </c>
      <c r="F87" t="inlineStr">
        <is>
          <t>Media</t>
        </is>
      </c>
      <c r="G87" t="inlineStr">
        <is>
          <t>No</t>
        </is>
      </c>
      <c r="H87" t="inlineStr">
        <is>
          <t>Possibile sorpresa</t>
        </is>
      </c>
      <c r="I87" t="n">
        <v>5</v>
      </c>
      <c r="J87" t="inlineStr">
        <is>
          <t>BRUCIATO (Calcio d'Angolo a 1 credito): la doppietta all'Atalanta l'hanno vista tutti.</t>
        </is>
      </c>
    </row>
    <row r="88">
      <c r="A88" t="n">
        <v>13</v>
      </c>
      <c r="B88" t="inlineStr">
        <is>
          <t>Ekhator</t>
        </is>
      </c>
      <c r="C88" t="inlineStr">
        <is>
          <t>Juventus</t>
        </is>
      </c>
      <c r="D88" t="n">
        <v>3</v>
      </c>
      <c r="E88" t="n">
        <v>10</v>
      </c>
      <c r="F88" t="inlineStr">
        <is>
          <t>Media</t>
        </is>
      </c>
      <c r="G88" t="inlineStr">
        <is>
          <t>No</t>
        </is>
      </c>
      <c r="H88" t="inlineStr">
        <is>
          <t>Prospettiva Juve</t>
        </is>
      </c>
      <c r="I88" t="n">
        <v>4</v>
      </c>
      <c r="J88" t="inlineStr">
        <is>
          <t>Bicipite femorale ko, punta la 1ª: sorpresa da subentro dietro Kolo Muani (FantaMaster). Ultimo slot.</t>
        </is>
      </c>
    </row>
    <row r="89">
      <c r="A89" t="n">
        <v>14</v>
      </c>
      <c r="B89" t="inlineStr">
        <is>
          <t>Noslin</t>
        </is>
      </c>
      <c r="C89" t="inlineStr">
        <is>
          <t>Lazio</t>
        </is>
      </c>
      <c r="D89" t="n">
        <v>6</v>
      </c>
      <c r="E89" t="n">
        <v>17</v>
      </c>
      <c r="F89" t="inlineStr">
        <is>
          <t>Ballottaggio</t>
        </is>
      </c>
      <c r="G89" t="inlineStr">
        <is>
          <t>No</t>
        </is>
      </c>
      <c r="H89" t="inlineStr">
        <is>
          <t>Jolly offensivo Lazio</t>
        </is>
      </c>
      <c r="I89" t="n">
        <v>5</v>
      </c>
      <c r="J89" t="inlineStr">
        <is>
          <t>In corsa a tre per il posto da 9 della Lazio (Goal/Calciodangolo lo danno titolare): scommessa da 1-3 crediti.</t>
        </is>
      </c>
    </row>
  </sheetData>
  <mergeCells count="6">
    <mergeCell ref="A32:J32"/>
    <mergeCell ref="A46:J46"/>
    <mergeCell ref="A74:J74"/>
    <mergeCell ref="A18:J18"/>
    <mergeCell ref="A60:J60"/>
    <mergeCell ref="A4:J4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0"/>
  <sheetViews>
    <sheetView showGridLines="0" zoomScaleNormal="100" workbookViewId="0">
      <pane ySplit="3" topLeftCell="A4" activePane="bottomLeft" state="frozen"/>
      <selection pane="bottomLeft" activeCell="A1" sqref="A1"/>
    </sheetView>
  </sheetViews>
  <sheetFormatPr baseColWidth="10" defaultColWidth="8.6640625" defaultRowHeight="15"/>
  <cols>
    <col width="22" customWidth="1" min="1" max="1"/>
    <col width="7" customWidth="1" min="2" max="2"/>
    <col width="12" customWidth="1" min="3" max="3"/>
    <col width="13" customWidth="1" min="4" max="4"/>
    <col width="7" customWidth="1" min="5" max="6"/>
  </cols>
  <sheetData>
    <row r="1" ht="16" customHeight="1">
      <c r="A1" s="47" t="inlineStr">
        <is>
          <t>LISTONE UFFICIALE 2026-27 (quotazioni Classic dal file caricato)</t>
        </is>
      </c>
    </row>
    <row r="3">
      <c r="A3" s="48" t="inlineStr">
        <is>
          <t>Nome</t>
        </is>
      </c>
      <c r="B3" s="48" t="inlineStr">
        <is>
          <t>Ruolo</t>
        </is>
      </c>
      <c r="C3" s="48" t="inlineStr">
        <is>
          <t>Ruolo Mantra</t>
        </is>
      </c>
      <c r="D3" s="48" t="inlineStr">
        <is>
          <t>Squadra</t>
        </is>
      </c>
      <c r="E3" s="48" t="inlineStr">
        <is>
          <t>Qt.A</t>
        </is>
      </c>
      <c r="F3" s="48" t="inlineStr">
        <is>
          <t>FVM</t>
        </is>
      </c>
    </row>
    <row r="4">
      <c r="A4" s="25" t="inlineStr">
        <is>
          <t>Svilar</t>
        </is>
      </c>
      <c r="B4" s="49" t="inlineStr">
        <is>
          <t>P</t>
        </is>
      </c>
      <c r="C4" s="35" t="inlineStr">
        <is>
          <t>Por</t>
        </is>
      </c>
      <c r="D4" s="35" t="inlineStr">
        <is>
          <t>Roma</t>
        </is>
      </c>
      <c r="E4" s="50" t="n">
        <v>18</v>
      </c>
      <c r="F4" s="50" t="n">
        <v>65</v>
      </c>
    </row>
    <row r="5">
      <c r="A5" s="25" t="inlineStr">
        <is>
          <t>Martinez Jo.</t>
        </is>
      </c>
      <c r="B5" s="49" t="inlineStr">
        <is>
          <t>P</t>
        </is>
      </c>
      <c r="C5" s="35" t="inlineStr">
        <is>
          <t>Por</t>
        </is>
      </c>
      <c r="D5" s="35" t="inlineStr">
        <is>
          <t>Inter</t>
        </is>
      </c>
      <c r="E5" s="50" t="n">
        <v>17</v>
      </c>
      <c r="F5" s="50" t="n">
        <v>63</v>
      </c>
    </row>
    <row r="6">
      <c r="A6" s="25" t="inlineStr">
        <is>
          <t>Butez</t>
        </is>
      </c>
      <c r="B6" s="49" t="inlineStr">
        <is>
          <t>P</t>
        </is>
      </c>
      <c r="C6" s="35" t="inlineStr">
        <is>
          <t>Por</t>
        </is>
      </c>
      <c r="D6" s="35" t="inlineStr">
        <is>
          <t>Como</t>
        </is>
      </c>
      <c r="E6" s="50" t="n">
        <v>16</v>
      </c>
      <c r="F6" s="50" t="n">
        <v>56</v>
      </c>
    </row>
    <row r="7">
      <c r="A7" s="25" t="inlineStr">
        <is>
          <t>Carnesecchi</t>
        </is>
      </c>
      <c r="B7" s="49" t="inlineStr">
        <is>
          <t>P</t>
        </is>
      </c>
      <c r="C7" s="35" t="inlineStr">
        <is>
          <t>Por</t>
        </is>
      </c>
      <c r="D7" s="35" t="inlineStr">
        <is>
          <t>Atalanta</t>
        </is>
      </c>
      <c r="E7" s="50" t="n">
        <v>16</v>
      </c>
      <c r="F7" s="50" t="n">
        <v>52</v>
      </c>
    </row>
    <row r="8">
      <c r="A8" s="25" t="inlineStr">
        <is>
          <t>Maignan</t>
        </is>
      </c>
      <c r="B8" s="49" t="inlineStr">
        <is>
          <t>P</t>
        </is>
      </c>
      <c r="C8" s="35" t="inlineStr">
        <is>
          <t>Por</t>
        </is>
      </c>
      <c r="D8" s="35" t="inlineStr">
        <is>
          <t>Milan</t>
        </is>
      </c>
      <c r="E8" s="50" t="n">
        <v>15</v>
      </c>
      <c r="F8" s="50" t="n">
        <v>50</v>
      </c>
    </row>
    <row r="9">
      <c r="A9" s="25" t="inlineStr">
        <is>
          <t>De Gea</t>
        </is>
      </c>
      <c r="B9" s="49" t="inlineStr">
        <is>
          <t>P</t>
        </is>
      </c>
      <c r="C9" s="35" t="inlineStr">
        <is>
          <t>Por</t>
        </is>
      </c>
      <c r="D9" s="35" t="inlineStr">
        <is>
          <t>Fiorentina</t>
        </is>
      </c>
      <c r="E9" s="50" t="n">
        <v>13</v>
      </c>
      <c r="F9" s="50" t="n">
        <v>45</v>
      </c>
    </row>
    <row r="10">
      <c r="A10" s="25" t="inlineStr">
        <is>
          <t>Meret</t>
        </is>
      </c>
      <c r="B10" s="49" t="inlineStr">
        <is>
          <t>P</t>
        </is>
      </c>
      <c r="C10" s="35" t="inlineStr">
        <is>
          <t>Por</t>
        </is>
      </c>
      <c r="D10" s="35" t="inlineStr">
        <is>
          <t>Napoli</t>
        </is>
      </c>
      <c r="E10" s="50" t="n">
        <v>11</v>
      </c>
      <c r="F10" s="50" t="n">
        <v>45</v>
      </c>
    </row>
    <row r="11">
      <c r="A11" s="25" t="inlineStr">
        <is>
          <t>Skorupski</t>
        </is>
      </c>
      <c r="B11" s="49" t="inlineStr">
        <is>
          <t>P</t>
        </is>
      </c>
      <c r="C11" s="35" t="inlineStr">
        <is>
          <t>Por</t>
        </is>
      </c>
      <c r="D11" s="35" t="inlineStr">
        <is>
          <t>Bologna</t>
        </is>
      </c>
      <c r="E11" s="50" t="n">
        <v>10</v>
      </c>
      <c r="F11" s="50" t="n">
        <v>37</v>
      </c>
    </row>
    <row r="12">
      <c r="A12" s="25" t="inlineStr">
        <is>
          <t>Caprile</t>
        </is>
      </c>
      <c r="B12" s="49" t="inlineStr">
        <is>
          <t>P</t>
        </is>
      </c>
      <c r="C12" s="35" t="inlineStr">
        <is>
          <t>Por</t>
        </is>
      </c>
      <c r="D12" s="35" t="inlineStr">
        <is>
          <t>Cagliari</t>
        </is>
      </c>
      <c r="E12" s="50" t="n">
        <v>9</v>
      </c>
      <c r="F12" s="50" t="n">
        <v>27</v>
      </c>
    </row>
    <row r="13">
      <c r="A13" s="25" t="inlineStr">
        <is>
          <t>Di Gregorio</t>
        </is>
      </c>
      <c r="B13" s="49" t="inlineStr">
        <is>
          <t>P</t>
        </is>
      </c>
      <c r="C13" s="35" t="inlineStr">
        <is>
          <t>Por</t>
        </is>
      </c>
      <c r="D13" s="35" t="inlineStr">
        <is>
          <t>Juventus</t>
        </is>
      </c>
      <c r="E13" s="50" t="n">
        <v>9</v>
      </c>
      <c r="F13" s="50" t="n">
        <v>40</v>
      </c>
    </row>
    <row r="14">
      <c r="A14" s="25" t="inlineStr">
        <is>
          <t>Mandas</t>
        </is>
      </c>
      <c r="B14" s="49" t="inlineStr">
        <is>
          <t>P</t>
        </is>
      </c>
      <c r="C14" s="35" t="inlineStr">
        <is>
          <t>Por</t>
        </is>
      </c>
      <c r="D14" s="35" t="inlineStr">
        <is>
          <t>Lazio</t>
        </is>
      </c>
      <c r="E14" s="50" t="n">
        <v>9</v>
      </c>
      <c r="F14" s="50" t="n">
        <v>30</v>
      </c>
    </row>
    <row r="15">
      <c r="A15" s="25" t="inlineStr">
        <is>
          <t>Okoye</t>
        </is>
      </c>
      <c r="B15" s="49" t="inlineStr">
        <is>
          <t>P</t>
        </is>
      </c>
      <c r="C15" s="35" t="inlineStr">
        <is>
          <t>Por</t>
        </is>
      </c>
      <c r="D15" s="35" t="inlineStr">
        <is>
          <t>Udinese</t>
        </is>
      </c>
      <c r="E15" s="50" t="n">
        <v>9</v>
      </c>
      <c r="F15" s="50" t="n">
        <v>29</v>
      </c>
    </row>
    <row r="16">
      <c r="A16" s="25" t="inlineStr">
        <is>
          <t>Bijlow</t>
        </is>
      </c>
      <c r="B16" s="49" t="inlineStr">
        <is>
          <t>P</t>
        </is>
      </c>
      <c r="C16" s="35" t="inlineStr">
        <is>
          <t>Por</t>
        </is>
      </c>
      <c r="D16" s="35" t="inlineStr">
        <is>
          <t>Genoa</t>
        </is>
      </c>
      <c r="E16" s="50" t="n">
        <v>8</v>
      </c>
      <c r="F16" s="50" t="n">
        <v>18</v>
      </c>
    </row>
    <row r="17">
      <c r="A17" s="25" t="inlineStr">
        <is>
          <t>Falcone</t>
        </is>
      </c>
      <c r="B17" s="49" t="inlineStr">
        <is>
          <t>P</t>
        </is>
      </c>
      <c r="C17" s="35" t="inlineStr">
        <is>
          <t>Por</t>
        </is>
      </c>
      <c r="D17" s="35" t="inlineStr">
        <is>
          <t>Lecce</t>
        </is>
      </c>
      <c r="E17" s="50" t="n">
        <v>8</v>
      </c>
      <c r="F17" s="50" t="n">
        <v>25</v>
      </c>
    </row>
    <row r="18">
      <c r="A18" s="25" t="inlineStr">
        <is>
          <t>Daffara</t>
        </is>
      </c>
      <c r="B18" s="49" t="inlineStr">
        <is>
          <t>P</t>
        </is>
      </c>
      <c r="C18" s="35" t="inlineStr">
        <is>
          <t>Por</t>
        </is>
      </c>
      <c r="D18" s="35" t="inlineStr">
        <is>
          <t>Parma</t>
        </is>
      </c>
      <c r="E18" s="50" t="n">
        <v>7</v>
      </c>
      <c r="F18" s="50" t="n">
        <v>5</v>
      </c>
    </row>
    <row r="19">
      <c r="A19" s="25" t="inlineStr">
        <is>
          <t>Muric</t>
        </is>
      </c>
      <c r="B19" s="49" t="inlineStr">
        <is>
          <t>P</t>
        </is>
      </c>
      <c r="C19" s="35" t="inlineStr">
        <is>
          <t>Por</t>
        </is>
      </c>
      <c r="D19" s="35" t="inlineStr">
        <is>
          <t>Sassuolo</t>
        </is>
      </c>
      <c r="E19" s="50" t="n">
        <v>7</v>
      </c>
      <c r="F19" s="50" t="n">
        <v>15</v>
      </c>
    </row>
    <row r="20">
      <c r="A20" s="25" t="inlineStr">
        <is>
          <t>Suzuki</t>
        </is>
      </c>
      <c r="B20" s="49" t="inlineStr">
        <is>
          <t>P</t>
        </is>
      </c>
      <c r="C20" s="35" t="inlineStr">
        <is>
          <t>Por</t>
        </is>
      </c>
      <c r="D20" s="35" t="inlineStr">
        <is>
          <t>Parma</t>
        </is>
      </c>
      <c r="E20" s="50" t="n">
        <v>7</v>
      </c>
      <c r="F20" s="50" t="n">
        <v>20</v>
      </c>
    </row>
    <row r="21">
      <c r="A21" s="25" t="inlineStr">
        <is>
          <t>Perin</t>
        </is>
      </c>
      <c r="B21" s="49" t="inlineStr">
        <is>
          <t>P</t>
        </is>
      </c>
      <c r="C21" s="35" t="inlineStr">
        <is>
          <t>Por</t>
        </is>
      </c>
      <c r="D21" s="35" t="inlineStr">
        <is>
          <t>Juventus</t>
        </is>
      </c>
      <c r="E21" s="50" t="n">
        <v>6</v>
      </c>
      <c r="F21" s="50" t="n">
        <v>10</v>
      </c>
    </row>
    <row r="22">
      <c r="A22" s="25" t="inlineStr">
        <is>
          <t>Stankovic F.</t>
        </is>
      </c>
      <c r="B22" s="49" t="inlineStr">
        <is>
          <t>P</t>
        </is>
      </c>
      <c r="C22" s="35" t="inlineStr">
        <is>
          <t>Por</t>
        </is>
      </c>
      <c r="D22" s="35" t="inlineStr">
        <is>
          <t>Venezia</t>
        </is>
      </c>
      <c r="E22" s="50" t="n">
        <v>6</v>
      </c>
      <c r="F22" s="50" t="n">
        <v>14</v>
      </c>
    </row>
    <row r="23">
      <c r="A23" s="25" t="inlineStr">
        <is>
          <t>Milinkovic-Savic V.</t>
        </is>
      </c>
      <c r="B23" s="49" t="inlineStr">
        <is>
          <t>P</t>
        </is>
      </c>
      <c r="C23" s="35" t="inlineStr">
        <is>
          <t>Por</t>
        </is>
      </c>
      <c r="D23" s="35" t="inlineStr">
        <is>
          <t>Napoli</t>
        </is>
      </c>
      <c r="E23" s="50" t="n">
        <v>5</v>
      </c>
      <c r="F23" s="50" t="n">
        <v>10</v>
      </c>
    </row>
    <row r="24">
      <c r="A24" s="25" t="inlineStr">
        <is>
          <t>Thiam</t>
        </is>
      </c>
      <c r="B24" s="49" t="inlineStr">
        <is>
          <t>P</t>
        </is>
      </c>
      <c r="C24" s="35" t="inlineStr">
        <is>
          <t>Por</t>
        </is>
      </c>
      <c r="D24" s="35" t="inlineStr">
        <is>
          <t>Monza</t>
        </is>
      </c>
      <c r="E24" s="50" t="n">
        <v>5</v>
      </c>
      <c r="F24" s="50" t="n">
        <v>12</v>
      </c>
    </row>
    <row r="25">
      <c r="A25" s="25" t="inlineStr">
        <is>
          <t>Palmisani</t>
        </is>
      </c>
      <c r="B25" s="49" t="inlineStr">
        <is>
          <t>P</t>
        </is>
      </c>
      <c r="C25" s="35" t="inlineStr">
        <is>
          <t>Por</t>
        </is>
      </c>
      <c r="D25" s="35" t="inlineStr">
        <is>
          <t>Frosinone</t>
        </is>
      </c>
      <c r="E25" s="50" t="n">
        <v>4</v>
      </c>
      <c r="F25" s="50" t="n">
        <v>8</v>
      </c>
    </row>
    <row r="26">
      <c r="A26" s="25" t="inlineStr">
        <is>
          <t>Desplanches</t>
        </is>
      </c>
      <c r="B26" s="49" t="inlineStr">
        <is>
          <t>P</t>
        </is>
      </c>
      <c r="C26" s="35" t="inlineStr">
        <is>
          <t>Por</t>
        </is>
      </c>
      <c r="D26" s="35" t="inlineStr">
        <is>
          <t>Frosinone</t>
        </is>
      </c>
      <c r="E26" s="50" t="n">
        <v>2</v>
      </c>
      <c r="F26" s="50" t="n">
        <v>8</v>
      </c>
    </row>
    <row r="27">
      <c r="A27" s="25" t="inlineStr">
        <is>
          <t>Provedel</t>
        </is>
      </c>
      <c r="B27" s="49" t="inlineStr">
        <is>
          <t>P</t>
        </is>
      </c>
      <c r="C27" s="35" t="inlineStr">
        <is>
          <t>Por</t>
        </is>
      </c>
      <c r="D27" s="35" t="inlineStr">
        <is>
          <t>Inter</t>
        </is>
      </c>
      <c r="E27" s="50" t="n">
        <v>2</v>
      </c>
      <c r="F27" s="50" t="n">
        <v>5</v>
      </c>
    </row>
    <row r="28">
      <c r="A28" s="25" t="inlineStr">
        <is>
          <t>Christensen O.</t>
        </is>
      </c>
      <c r="B28" s="49" t="inlineStr">
        <is>
          <t>P</t>
        </is>
      </c>
      <c r="C28" s="35" t="inlineStr">
        <is>
          <t>Por</t>
        </is>
      </c>
      <c r="D28" s="35" t="inlineStr">
        <is>
          <t>Fiorentina</t>
        </is>
      </c>
      <c r="E28" s="50" t="n">
        <v>1</v>
      </c>
      <c r="F28" s="50" t="n">
        <v>1</v>
      </c>
    </row>
    <row r="29">
      <c r="A29" s="25" t="inlineStr">
        <is>
          <t>Contini</t>
        </is>
      </c>
      <c r="B29" s="49" t="inlineStr">
        <is>
          <t>P</t>
        </is>
      </c>
      <c r="C29" s="35" t="inlineStr">
        <is>
          <t>Por</t>
        </is>
      </c>
      <c r="D29" s="35" t="inlineStr">
        <is>
          <t>Napoli</t>
        </is>
      </c>
      <c r="E29" s="50" t="n">
        <v>1</v>
      </c>
      <c r="F29" s="50" t="n">
        <v>1</v>
      </c>
    </row>
    <row r="30">
      <c r="A30" s="25" t="inlineStr">
        <is>
          <t>Corvi</t>
        </is>
      </c>
      <c r="B30" s="49" t="inlineStr">
        <is>
          <t>P</t>
        </is>
      </c>
      <c r="C30" s="35" t="inlineStr">
        <is>
          <t>Por</t>
        </is>
      </c>
      <c r="D30" s="35" t="inlineStr">
        <is>
          <t>Parma</t>
        </is>
      </c>
      <c r="E30" s="50" t="n">
        <v>1</v>
      </c>
      <c r="F30" s="50" t="n">
        <v>1</v>
      </c>
    </row>
    <row r="31">
      <c r="A31" s="25" t="inlineStr">
        <is>
          <t>De Marzi</t>
        </is>
      </c>
      <c r="B31" s="49" t="inlineStr">
        <is>
          <t>P</t>
        </is>
      </c>
      <c r="C31" s="35" t="inlineStr">
        <is>
          <t>Por</t>
        </is>
      </c>
      <c r="D31" s="35" t="inlineStr">
        <is>
          <t>Roma</t>
        </is>
      </c>
      <c r="E31" s="50" t="n">
        <v>1</v>
      </c>
      <c r="F31" s="50" t="n">
        <v>1</v>
      </c>
    </row>
    <row r="32">
      <c r="A32" s="25" t="inlineStr">
        <is>
          <t>Di Gennaro</t>
        </is>
      </c>
      <c r="B32" s="49" t="inlineStr">
        <is>
          <t>P</t>
        </is>
      </c>
      <c r="C32" s="35" t="inlineStr">
        <is>
          <t>Por</t>
        </is>
      </c>
      <c r="D32" s="35" t="inlineStr">
        <is>
          <t>Inter</t>
        </is>
      </c>
      <c r="E32" s="50" t="n">
        <v>1</v>
      </c>
      <c r="F32" s="50" t="n">
        <v>1</v>
      </c>
    </row>
    <row r="33">
      <c r="A33" s="25" t="inlineStr">
        <is>
          <t>Gollini</t>
        </is>
      </c>
      <c r="B33" s="49" t="inlineStr">
        <is>
          <t>P</t>
        </is>
      </c>
      <c r="C33" s="35" t="inlineStr">
        <is>
          <t>Por</t>
        </is>
      </c>
      <c r="D33" s="35" t="inlineStr">
        <is>
          <t>Roma</t>
        </is>
      </c>
      <c r="E33" s="50" t="n">
        <v>1</v>
      </c>
      <c r="F33" s="50" t="n">
        <v>1</v>
      </c>
    </row>
    <row r="34">
      <c r="A34" s="25" t="inlineStr">
        <is>
          <t>Grandi</t>
        </is>
      </c>
      <c r="B34" s="49" t="inlineStr">
        <is>
          <t>P</t>
        </is>
      </c>
      <c r="C34" s="35" t="inlineStr">
        <is>
          <t>Por</t>
        </is>
      </c>
      <c r="D34" s="35" t="inlineStr">
        <is>
          <t>Venezia</t>
        </is>
      </c>
      <c r="E34" s="50" t="n">
        <v>1</v>
      </c>
      <c r="F34" s="50" t="n">
        <v>1</v>
      </c>
    </row>
    <row r="35">
      <c r="A35" s="25" t="inlineStr">
        <is>
          <t>Happonen</t>
        </is>
      </c>
      <c r="B35" s="49" t="inlineStr">
        <is>
          <t>P</t>
        </is>
      </c>
      <c r="C35" s="35" t="inlineStr">
        <is>
          <t>Por</t>
        </is>
      </c>
      <c r="D35" s="35" t="inlineStr">
        <is>
          <t>Bologna</t>
        </is>
      </c>
      <c r="E35" s="50" t="n">
        <v>1</v>
      </c>
      <c r="F35" s="50" t="n">
        <v>1</v>
      </c>
    </row>
    <row r="36">
      <c r="A36" s="25" t="inlineStr">
        <is>
          <t>Lezzerini</t>
        </is>
      </c>
      <c r="B36" s="49" t="inlineStr">
        <is>
          <t>P</t>
        </is>
      </c>
      <c r="C36" s="35" t="inlineStr">
        <is>
          <t>Por</t>
        </is>
      </c>
      <c r="D36" s="35" t="inlineStr">
        <is>
          <t>Fiorentina</t>
        </is>
      </c>
      <c r="E36" s="50" t="n">
        <v>1</v>
      </c>
      <c r="F36" s="50" t="n">
        <v>1</v>
      </c>
    </row>
    <row r="37">
      <c r="A37" s="25" t="inlineStr">
        <is>
          <t>Lolic</t>
        </is>
      </c>
      <c r="B37" s="49" t="inlineStr">
        <is>
          <t>P</t>
        </is>
      </c>
      <c r="C37" s="35" t="inlineStr">
        <is>
          <t>Por</t>
        </is>
      </c>
      <c r="D37" s="35" t="inlineStr">
        <is>
          <t>Frosinone</t>
        </is>
      </c>
      <c r="E37" s="50" t="n">
        <v>1</v>
      </c>
      <c r="F37" s="50" t="n">
        <v>1</v>
      </c>
    </row>
    <row r="38">
      <c r="A38" s="25" t="inlineStr">
        <is>
          <t>Mascardi</t>
        </is>
      </c>
      <c r="B38" s="49" t="inlineStr">
        <is>
          <t>P</t>
        </is>
      </c>
      <c r="C38" s="35" t="inlineStr">
        <is>
          <t>Por</t>
        </is>
      </c>
      <c r="D38" s="35" t="inlineStr">
        <is>
          <t>Torino</t>
        </is>
      </c>
      <c r="E38" s="50" t="n">
        <v>1</v>
      </c>
      <c r="F38" s="50" t="n">
        <v>1</v>
      </c>
    </row>
    <row r="39">
      <c r="A39" s="25" t="inlineStr">
        <is>
          <t>Motta</t>
        </is>
      </c>
      <c r="B39" s="49" t="inlineStr">
        <is>
          <t>P</t>
        </is>
      </c>
      <c r="C39" s="35" t="inlineStr">
        <is>
          <t>Por</t>
        </is>
      </c>
      <c r="D39" s="35" t="inlineStr">
        <is>
          <t>Lazio</t>
        </is>
      </c>
      <c r="E39" s="50" t="n">
        <v>1</v>
      </c>
      <c r="F39" s="50" t="n">
        <v>1</v>
      </c>
    </row>
    <row r="40">
      <c r="A40" s="25" t="inlineStr">
        <is>
          <t>Padelli</t>
        </is>
      </c>
      <c r="B40" s="49" t="inlineStr">
        <is>
          <t>P</t>
        </is>
      </c>
      <c r="C40" s="35" t="inlineStr">
        <is>
          <t>Por</t>
        </is>
      </c>
      <c r="D40" s="35" t="inlineStr">
        <is>
          <t>Udinese</t>
        </is>
      </c>
      <c r="E40" s="50" t="n">
        <v>1</v>
      </c>
      <c r="F40" s="50" t="n">
        <v>1</v>
      </c>
    </row>
    <row r="41">
      <c r="A41" s="25" t="inlineStr">
        <is>
          <t>Paleari</t>
        </is>
      </c>
      <c r="B41" s="49" t="inlineStr">
        <is>
          <t>P</t>
        </is>
      </c>
      <c r="C41" s="35" t="inlineStr">
        <is>
          <t>Por</t>
        </is>
      </c>
      <c r="D41" s="35" t="inlineStr">
        <is>
          <t>Torino</t>
        </is>
      </c>
      <c r="E41" s="50" t="n">
        <v>1</v>
      </c>
      <c r="F41" s="50" t="n">
        <v>1</v>
      </c>
    </row>
    <row r="42">
      <c r="A42" s="25" t="inlineStr">
        <is>
          <t>Pessina Mas.</t>
        </is>
      </c>
      <c r="B42" s="49" t="inlineStr">
        <is>
          <t>P</t>
        </is>
      </c>
      <c r="C42" s="35" t="inlineStr">
        <is>
          <t>Por</t>
        </is>
      </c>
      <c r="D42" s="35" t="inlineStr">
        <is>
          <t>Bologna</t>
        </is>
      </c>
      <c r="E42" s="50" t="n">
        <v>1</v>
      </c>
      <c r="F42" s="50" t="n">
        <v>1</v>
      </c>
    </row>
    <row r="43">
      <c r="A43" s="25" t="inlineStr">
        <is>
          <t>Piana</t>
        </is>
      </c>
      <c r="B43" s="49" t="inlineStr">
        <is>
          <t>P</t>
        </is>
      </c>
      <c r="C43" s="35" t="inlineStr">
        <is>
          <t>Por</t>
        </is>
      </c>
      <c r="D43" s="35" t="inlineStr">
        <is>
          <t>Udinese</t>
        </is>
      </c>
      <c r="E43" s="50" t="n">
        <v>1</v>
      </c>
      <c r="F43" s="50" t="n">
        <v>1</v>
      </c>
    </row>
    <row r="44">
      <c r="A44" s="25" t="inlineStr">
        <is>
          <t>Pinsoglio</t>
        </is>
      </c>
      <c r="B44" s="49" t="inlineStr">
        <is>
          <t>P</t>
        </is>
      </c>
      <c r="C44" s="35" t="inlineStr">
        <is>
          <t>Por</t>
        </is>
      </c>
      <c r="D44" s="35" t="inlineStr">
        <is>
          <t>Juventus</t>
        </is>
      </c>
      <c r="E44" s="50" t="n">
        <v>1</v>
      </c>
      <c r="F44" s="50" t="n">
        <v>1</v>
      </c>
    </row>
    <row r="45">
      <c r="A45" s="25" t="inlineStr">
        <is>
          <t>Pizzignacco</t>
        </is>
      </c>
      <c r="B45" s="49" t="inlineStr">
        <is>
          <t>P</t>
        </is>
      </c>
      <c r="C45" s="35" t="inlineStr">
        <is>
          <t>Por</t>
        </is>
      </c>
      <c r="D45" s="35" t="inlineStr">
        <is>
          <t>Monza</t>
        </is>
      </c>
      <c r="E45" s="50" t="n">
        <v>1</v>
      </c>
      <c r="F45" s="50" t="n">
        <v>1</v>
      </c>
    </row>
    <row r="46">
      <c r="A46" s="25" t="inlineStr">
        <is>
          <t>Pozzi</t>
        </is>
      </c>
      <c r="B46" s="49" t="inlineStr">
        <is>
          <t>P</t>
        </is>
      </c>
      <c r="C46" s="35" t="inlineStr">
        <is>
          <t>Por</t>
        </is>
      </c>
      <c r="D46" s="35" t="inlineStr">
        <is>
          <t>Venezia</t>
        </is>
      </c>
      <c r="E46" s="50" t="n">
        <v>1</v>
      </c>
      <c r="F46" s="50" t="n">
        <v>1</v>
      </c>
    </row>
    <row r="47">
      <c r="A47" s="25" t="inlineStr">
        <is>
          <t>Renzetti</t>
        </is>
      </c>
      <c r="B47" s="49" t="inlineStr">
        <is>
          <t>P</t>
        </is>
      </c>
      <c r="C47" s="35" t="inlineStr">
        <is>
          <t>Por</t>
        </is>
      </c>
      <c r="D47" s="35" t="inlineStr">
        <is>
          <t>Lazio</t>
        </is>
      </c>
      <c r="E47" s="50" t="n">
        <v>1</v>
      </c>
      <c r="F47" s="50" t="n">
        <v>1</v>
      </c>
    </row>
    <row r="48">
      <c r="A48" s="25" t="inlineStr">
        <is>
          <t>Russo A.</t>
        </is>
      </c>
      <c r="B48" s="49" t="inlineStr">
        <is>
          <t>P</t>
        </is>
      </c>
      <c r="C48" s="35" t="inlineStr">
        <is>
          <t>Por</t>
        </is>
      </c>
      <c r="D48" s="35" t="inlineStr">
        <is>
          <t>Sassuolo</t>
        </is>
      </c>
      <c r="E48" s="50" t="n">
        <v>1</v>
      </c>
      <c r="F48" s="50" t="n">
        <v>1</v>
      </c>
    </row>
    <row r="49">
      <c r="A49" s="25" t="inlineStr">
        <is>
          <t>Samooja</t>
        </is>
      </c>
      <c r="B49" s="49" t="inlineStr">
        <is>
          <t>P</t>
        </is>
      </c>
      <c r="C49" s="35" t="inlineStr">
        <is>
          <t>Por</t>
        </is>
      </c>
      <c r="D49" s="35" t="inlineStr">
        <is>
          <t>Lecce</t>
        </is>
      </c>
      <c r="E49" s="50" t="n">
        <v>1</v>
      </c>
      <c r="F49" s="50" t="n">
        <v>1</v>
      </c>
    </row>
    <row r="50">
      <c r="A50" s="25" t="inlineStr">
        <is>
          <t>Satalino</t>
        </is>
      </c>
      <c r="B50" s="49" t="inlineStr">
        <is>
          <t>P</t>
        </is>
      </c>
      <c r="C50" s="35" t="inlineStr">
        <is>
          <t>Por</t>
        </is>
      </c>
      <c r="D50" s="35" t="inlineStr">
        <is>
          <t>Sassuolo</t>
        </is>
      </c>
      <c r="E50" s="50" t="n">
        <v>1</v>
      </c>
      <c r="F50" s="50" t="n">
        <v>1</v>
      </c>
    </row>
    <row r="51">
      <c r="A51" s="25" t="inlineStr">
        <is>
          <t>Sherri</t>
        </is>
      </c>
      <c r="B51" s="49" t="inlineStr">
        <is>
          <t>P</t>
        </is>
      </c>
      <c r="C51" s="35" t="inlineStr">
        <is>
          <t>Por</t>
        </is>
      </c>
      <c r="D51" s="35" t="inlineStr">
        <is>
          <t>Cagliari</t>
        </is>
      </c>
      <c r="E51" s="50" t="n">
        <v>1</v>
      </c>
      <c r="F51" s="50" t="n">
        <v>1</v>
      </c>
    </row>
    <row r="52">
      <c r="A52" s="25" t="inlineStr">
        <is>
          <t>Siviero</t>
        </is>
      </c>
      <c r="B52" s="49" t="inlineStr">
        <is>
          <t>P</t>
        </is>
      </c>
      <c r="C52" s="35" t="inlineStr">
        <is>
          <t>Por</t>
        </is>
      </c>
      <c r="D52" s="35" t="inlineStr">
        <is>
          <t>Torino</t>
        </is>
      </c>
      <c r="E52" s="50" t="n">
        <v>1</v>
      </c>
      <c r="F52" s="50" t="n">
        <v>1</v>
      </c>
    </row>
    <row r="53">
      <c r="A53" s="25" t="inlineStr">
        <is>
          <t>Sommariva</t>
        </is>
      </c>
      <c r="B53" s="49" t="inlineStr">
        <is>
          <t>P</t>
        </is>
      </c>
      <c r="C53" s="35" t="inlineStr">
        <is>
          <t>Por</t>
        </is>
      </c>
      <c r="D53" s="35" t="inlineStr">
        <is>
          <t>Genoa</t>
        </is>
      </c>
      <c r="E53" s="50" t="n">
        <v>1</v>
      </c>
      <c r="F53" s="50" t="n">
        <v>1</v>
      </c>
    </row>
    <row r="54">
      <c r="A54" s="25" t="inlineStr">
        <is>
          <t>Sportiello</t>
        </is>
      </c>
      <c r="B54" s="49" t="inlineStr">
        <is>
          <t>P</t>
        </is>
      </c>
      <c r="C54" s="35" t="inlineStr">
        <is>
          <t>Por</t>
        </is>
      </c>
      <c r="D54" s="35" t="inlineStr">
        <is>
          <t>Atalanta</t>
        </is>
      </c>
      <c r="E54" s="50" t="n">
        <v>1</v>
      </c>
      <c r="F54" s="50" t="n">
        <v>1</v>
      </c>
    </row>
    <row r="55">
      <c r="A55" s="25" t="inlineStr">
        <is>
          <t>Stolz</t>
        </is>
      </c>
      <c r="B55" s="49" t="inlineStr">
        <is>
          <t>P</t>
        </is>
      </c>
      <c r="C55" s="35" t="inlineStr">
        <is>
          <t>Por</t>
        </is>
      </c>
      <c r="D55" s="35" t="inlineStr">
        <is>
          <t>Genoa</t>
        </is>
      </c>
      <c r="E55" s="50" t="n">
        <v>1</v>
      </c>
      <c r="F55" s="50" t="n">
        <v>1</v>
      </c>
    </row>
    <row r="56">
      <c r="A56" s="25" t="inlineStr">
        <is>
          <t>Strajnar</t>
        </is>
      </c>
      <c r="B56" s="49" t="inlineStr">
        <is>
          <t>P</t>
        </is>
      </c>
      <c r="C56" s="35" t="inlineStr">
        <is>
          <t>Por</t>
        </is>
      </c>
      <c r="D56" s="35" t="inlineStr">
        <is>
          <t>Monza</t>
        </is>
      </c>
      <c r="E56" s="50" t="n">
        <v>1</v>
      </c>
      <c r="F56" s="50" t="n">
        <v>1</v>
      </c>
    </row>
    <row r="57">
      <c r="A57" s="25" t="inlineStr">
        <is>
          <t>Terracciano</t>
        </is>
      </c>
      <c r="B57" s="49" t="inlineStr">
        <is>
          <t>P</t>
        </is>
      </c>
      <c r="C57" s="35" t="inlineStr">
        <is>
          <t>Por</t>
        </is>
      </c>
      <c r="D57" s="35" t="inlineStr">
        <is>
          <t>Milan</t>
        </is>
      </c>
      <c r="E57" s="50" t="n">
        <v>1</v>
      </c>
      <c r="F57" s="50" t="n">
        <v>1</v>
      </c>
    </row>
    <row r="58">
      <c r="A58" s="25" t="inlineStr">
        <is>
          <t>Tornqvist</t>
        </is>
      </c>
      <c r="B58" s="49" t="inlineStr">
        <is>
          <t>P</t>
        </is>
      </c>
      <c r="C58" s="35" t="inlineStr">
        <is>
          <t>Por</t>
        </is>
      </c>
      <c r="D58" s="35" t="inlineStr">
        <is>
          <t>Como</t>
        </is>
      </c>
      <c r="E58" s="50" t="n">
        <v>1</v>
      </c>
      <c r="F58" s="50" t="n">
        <v>1</v>
      </c>
    </row>
    <row r="59">
      <c r="A59" s="25" t="inlineStr">
        <is>
          <t>Torriani</t>
        </is>
      </c>
      <c r="B59" s="49" t="inlineStr">
        <is>
          <t>P</t>
        </is>
      </c>
      <c r="C59" s="35" t="inlineStr">
        <is>
          <t>Por</t>
        </is>
      </c>
      <c r="D59" s="35" t="inlineStr">
        <is>
          <t>Milan</t>
        </is>
      </c>
      <c r="E59" s="50" t="n">
        <v>1</v>
      </c>
      <c r="F59" s="50" t="n">
        <v>1</v>
      </c>
    </row>
    <row r="60">
      <c r="A60" s="25" t="inlineStr">
        <is>
          <t>Turati</t>
        </is>
      </c>
      <c r="B60" s="49" t="inlineStr">
        <is>
          <t>P</t>
        </is>
      </c>
      <c r="C60" s="35" t="inlineStr">
        <is>
          <t>Por</t>
        </is>
      </c>
      <c r="D60" s="35" t="inlineStr">
        <is>
          <t>Sassuolo</t>
        </is>
      </c>
      <c r="E60" s="50" t="n">
        <v>1</v>
      </c>
      <c r="F60" s="50" t="n">
        <v>3</v>
      </c>
    </row>
    <row r="61">
      <c r="A61" s="25" t="inlineStr">
        <is>
          <t>Vigorito</t>
        </is>
      </c>
      <c r="B61" s="49" t="inlineStr">
        <is>
          <t>P</t>
        </is>
      </c>
      <c r="C61" s="35" t="inlineStr">
        <is>
          <t>Por</t>
        </is>
      </c>
      <c r="D61" s="35" t="inlineStr">
        <is>
          <t>Como</t>
        </is>
      </c>
      <c r="E61" s="50" t="n">
        <v>1</v>
      </c>
      <c r="F61" s="50" t="n">
        <v>1</v>
      </c>
    </row>
    <row r="62">
      <c r="A62" s="25" t="inlineStr">
        <is>
          <t>Vismara</t>
        </is>
      </c>
      <c r="B62" s="49" t="inlineStr">
        <is>
          <t>P</t>
        </is>
      </c>
      <c r="C62" s="35" t="inlineStr">
        <is>
          <t>Por</t>
        </is>
      </c>
      <c r="D62" s="35" t="inlineStr">
        <is>
          <t>Atalanta</t>
        </is>
      </c>
      <c r="E62" s="50" t="n">
        <v>1</v>
      </c>
      <c r="F62" s="50" t="n">
        <v>1</v>
      </c>
    </row>
    <row r="63">
      <c r="A63" s="25" t="inlineStr">
        <is>
          <t>Dimarco</t>
        </is>
      </c>
      <c r="B63" s="51" t="inlineStr">
        <is>
          <t>D</t>
        </is>
      </c>
      <c r="C63" s="35" t="inlineStr">
        <is>
          <t>E;W</t>
        </is>
      </c>
      <c r="D63" s="35" t="inlineStr">
        <is>
          <t>Inter</t>
        </is>
      </c>
      <c r="E63" s="50" t="n">
        <v>32</v>
      </c>
      <c r="F63" s="50" t="n">
        <v>265</v>
      </c>
    </row>
    <row r="64">
      <c r="A64" s="25" t="inlineStr">
        <is>
          <t>Wesley</t>
        </is>
      </c>
      <c r="B64" s="51" t="inlineStr">
        <is>
          <t>D</t>
        </is>
      </c>
      <c r="C64" s="35" t="inlineStr">
        <is>
          <t>E</t>
        </is>
      </c>
      <c r="D64" s="35" t="inlineStr">
        <is>
          <t>Roma</t>
        </is>
      </c>
      <c r="E64" s="50" t="n">
        <v>17</v>
      </c>
      <c r="F64" s="50" t="n">
        <v>83</v>
      </c>
    </row>
    <row r="65">
      <c r="A65" s="25" t="inlineStr">
        <is>
          <t>Akanji</t>
        </is>
      </c>
      <c r="B65" s="51" t="inlineStr">
        <is>
          <t>D</t>
        </is>
      </c>
      <c r="C65" s="35" t="inlineStr">
        <is>
          <t>Dc</t>
        </is>
      </c>
      <c r="D65" s="35" t="inlineStr">
        <is>
          <t>Inter</t>
        </is>
      </c>
      <c r="E65" s="50" t="n">
        <v>16</v>
      </c>
      <c r="F65" s="50" t="n">
        <v>55</v>
      </c>
    </row>
    <row r="66">
      <c r="A66" s="25" t="inlineStr">
        <is>
          <t>Bremer</t>
        </is>
      </c>
      <c r="B66" s="51" t="inlineStr">
        <is>
          <t>D</t>
        </is>
      </c>
      <c r="C66" s="35" t="inlineStr">
        <is>
          <t>Dc</t>
        </is>
      </c>
      <c r="D66" s="35" t="inlineStr">
        <is>
          <t>Juventus</t>
        </is>
      </c>
      <c r="E66" s="50" t="n">
        <v>15</v>
      </c>
      <c r="F66" s="50" t="n">
        <v>50</v>
      </c>
    </row>
    <row r="67">
      <c r="A67" s="25" t="inlineStr">
        <is>
          <t>Mancini</t>
        </is>
      </c>
      <c r="B67" s="51" t="inlineStr">
        <is>
          <t>D</t>
        </is>
      </c>
      <c r="C67" s="35" t="inlineStr">
        <is>
          <t>Dc</t>
        </is>
      </c>
      <c r="D67" s="35" t="inlineStr">
        <is>
          <t>Roma</t>
        </is>
      </c>
      <c r="E67" s="50" t="n">
        <v>15</v>
      </c>
      <c r="F67" s="50" t="n">
        <v>49</v>
      </c>
    </row>
    <row r="68">
      <c r="A68" s="25" t="inlineStr">
        <is>
          <t>Bastoni</t>
        </is>
      </c>
      <c r="B68" s="51" t="inlineStr">
        <is>
          <t>D</t>
        </is>
      </c>
      <c r="C68" s="35" t="inlineStr">
        <is>
          <t>Dc</t>
        </is>
      </c>
      <c r="D68" s="35" t="inlineStr">
        <is>
          <t>Inter</t>
        </is>
      </c>
      <c r="E68" s="50" t="n">
        <v>14</v>
      </c>
      <c r="F68" s="50" t="n">
        <v>44</v>
      </c>
    </row>
    <row r="69">
      <c r="A69" s="25" t="inlineStr">
        <is>
          <t>Pavlovic</t>
        </is>
      </c>
      <c r="B69" s="51" t="inlineStr">
        <is>
          <t>D</t>
        </is>
      </c>
      <c r="C69" s="35" t="inlineStr">
        <is>
          <t>Dc</t>
        </is>
      </c>
      <c r="D69" s="35" t="inlineStr">
        <is>
          <t>Milan</t>
        </is>
      </c>
      <c r="E69" s="50" t="n">
        <v>14</v>
      </c>
      <c r="F69" s="50" t="n">
        <v>48</v>
      </c>
    </row>
    <row r="70">
      <c r="A70" s="25" t="inlineStr">
        <is>
          <t>Rrahmani</t>
        </is>
      </c>
      <c r="B70" s="51" t="inlineStr">
        <is>
          <t>D</t>
        </is>
      </c>
      <c r="C70" s="35" t="inlineStr">
        <is>
          <t>Dc</t>
        </is>
      </c>
      <c r="D70" s="35" t="inlineStr">
        <is>
          <t>Napoli</t>
        </is>
      </c>
      <c r="E70" s="50" t="n">
        <v>14</v>
      </c>
      <c r="F70" s="50" t="n">
        <v>47</v>
      </c>
    </row>
    <row r="71">
      <c r="A71" s="25" t="inlineStr">
        <is>
          <t>Kalulu</t>
        </is>
      </c>
      <c r="B71" s="51" t="inlineStr">
        <is>
          <t>D</t>
        </is>
      </c>
      <c r="C71" s="35" t="inlineStr">
        <is>
          <t>Dd;Dc</t>
        </is>
      </c>
      <c r="D71" s="35" t="inlineStr">
        <is>
          <t>Juventus</t>
        </is>
      </c>
      <c r="E71" s="50" t="n">
        <v>13</v>
      </c>
      <c r="F71" s="50" t="n">
        <v>46</v>
      </c>
    </row>
    <row r="72">
      <c r="A72" s="25" t="inlineStr">
        <is>
          <t>N'Dicka</t>
        </is>
      </c>
      <c r="B72" s="51" t="inlineStr">
        <is>
          <t>D</t>
        </is>
      </c>
      <c r="C72" s="35" t="inlineStr">
        <is>
          <t>Dc</t>
        </is>
      </c>
      <c r="D72" s="35" t="inlineStr">
        <is>
          <t>Roma</t>
        </is>
      </c>
      <c r="E72" s="50" t="n">
        <v>13</v>
      </c>
      <c r="F72" s="50" t="n">
        <v>44</v>
      </c>
    </row>
    <row r="73">
      <c r="A73" s="25" t="inlineStr">
        <is>
          <t>Solet</t>
        </is>
      </c>
      <c r="B73" s="51" t="inlineStr">
        <is>
          <t>D</t>
        </is>
      </c>
      <c r="C73" s="35" t="inlineStr">
        <is>
          <t>Dc</t>
        </is>
      </c>
      <c r="D73" s="35" t="inlineStr">
        <is>
          <t>Udinese</t>
        </is>
      </c>
      <c r="E73" s="50" t="n">
        <v>13</v>
      </c>
      <c r="F73" s="50" t="n">
        <v>46</v>
      </c>
    </row>
    <row r="74">
      <c r="A74" s="25" t="inlineStr">
        <is>
          <t>Di Lorenzo</t>
        </is>
      </c>
      <c r="B74" s="51" t="inlineStr">
        <is>
          <t>D</t>
        </is>
      </c>
      <c r="C74" s="35" t="inlineStr">
        <is>
          <t>Dd;E</t>
        </is>
      </c>
      <c r="D74" s="35" t="inlineStr">
        <is>
          <t>Napoli</t>
        </is>
      </c>
      <c r="E74" s="50" t="n">
        <v>12</v>
      </c>
      <c r="F74" s="50" t="n">
        <v>40</v>
      </c>
    </row>
    <row r="75">
      <c r="A75" s="25" t="inlineStr">
        <is>
          <t>Gila</t>
        </is>
      </c>
      <c r="B75" s="51" t="inlineStr">
        <is>
          <t>D</t>
        </is>
      </c>
      <c r="C75" s="35" t="inlineStr">
        <is>
          <t>Dc</t>
        </is>
      </c>
      <c r="D75" s="35" t="inlineStr">
        <is>
          <t>Milan</t>
        </is>
      </c>
      <c r="E75" s="50" t="n">
        <v>12</v>
      </c>
      <c r="F75" s="50" t="n">
        <v>31</v>
      </c>
    </row>
    <row r="76">
      <c r="A76" s="25" t="inlineStr">
        <is>
          <t>Stones</t>
        </is>
      </c>
      <c r="B76" s="51" t="inlineStr">
        <is>
          <t>D</t>
        </is>
      </c>
      <c r="C76" s="35" t="inlineStr">
        <is>
          <t>Dc</t>
        </is>
      </c>
      <c r="D76" s="35" t="inlineStr">
        <is>
          <t>Inter</t>
        </is>
      </c>
      <c r="E76" s="50" t="n">
        <v>12</v>
      </c>
      <c r="F76" s="50" t="n">
        <v>38</v>
      </c>
    </row>
    <row r="77">
      <c r="A77" s="25" t="inlineStr">
        <is>
          <t>Bisseck</t>
        </is>
      </c>
      <c r="B77" s="51" t="inlineStr">
        <is>
          <t>D</t>
        </is>
      </c>
      <c r="C77" s="35" t="inlineStr">
        <is>
          <t>Dc</t>
        </is>
      </c>
      <c r="D77" s="35" t="inlineStr">
        <is>
          <t>Inter</t>
        </is>
      </c>
      <c r="E77" s="50" t="n">
        <v>11</v>
      </c>
      <c r="F77" s="50" t="n">
        <v>33</v>
      </c>
    </row>
    <row r="78">
      <c r="A78" s="25" t="inlineStr">
        <is>
          <t>Ostigard</t>
        </is>
      </c>
      <c r="B78" s="51" t="inlineStr">
        <is>
          <t>D</t>
        </is>
      </c>
      <c r="C78" s="35" t="inlineStr">
        <is>
          <t>Dc</t>
        </is>
      </c>
      <c r="D78" s="35" t="inlineStr">
        <is>
          <t>Genoa</t>
        </is>
      </c>
      <c r="E78" s="50" t="n">
        <v>11</v>
      </c>
      <c r="F78" s="50" t="n">
        <v>40</v>
      </c>
    </row>
    <row r="79">
      <c r="A79" s="25" t="inlineStr">
        <is>
          <t>Dodò</t>
        </is>
      </c>
      <c r="B79" s="51" t="inlineStr">
        <is>
          <t>D</t>
        </is>
      </c>
      <c r="C79" s="35" t="inlineStr">
        <is>
          <t>Dd;E</t>
        </is>
      </c>
      <c r="D79" s="35" t="inlineStr">
        <is>
          <t>Fiorentina</t>
        </is>
      </c>
      <c r="E79" s="50" t="n">
        <v>10</v>
      </c>
      <c r="F79" s="50" t="n">
        <v>30</v>
      </c>
    </row>
    <row r="80">
      <c r="A80" s="25" t="inlineStr">
        <is>
          <t>Hermoso</t>
        </is>
      </c>
      <c r="B80" s="51" t="inlineStr">
        <is>
          <t>D</t>
        </is>
      </c>
      <c r="C80" s="35" t="inlineStr">
        <is>
          <t>Dc</t>
        </is>
      </c>
      <c r="D80" s="35" t="inlineStr">
        <is>
          <t>Roma</t>
        </is>
      </c>
      <c r="E80" s="50" t="n">
        <v>10</v>
      </c>
      <c r="F80" s="50" t="n">
        <v>26</v>
      </c>
    </row>
    <row r="81">
      <c r="A81" s="25" t="inlineStr">
        <is>
          <t>Ramon</t>
        </is>
      </c>
      <c r="B81" s="51" t="inlineStr">
        <is>
          <t>D</t>
        </is>
      </c>
      <c r="C81" s="35" t="inlineStr">
        <is>
          <t>Dc</t>
        </is>
      </c>
      <c r="D81" s="35" t="inlineStr">
        <is>
          <t>Como</t>
        </is>
      </c>
      <c r="E81" s="50" t="n">
        <v>10</v>
      </c>
      <c r="F81" s="50" t="n">
        <v>32</v>
      </c>
    </row>
    <row r="82">
      <c r="A82" s="25" t="inlineStr">
        <is>
          <t>Scalvini</t>
        </is>
      </c>
      <c r="B82" s="51" t="inlineStr">
        <is>
          <t>D</t>
        </is>
      </c>
      <c r="C82" s="35" t="inlineStr">
        <is>
          <t>Dc</t>
        </is>
      </c>
      <c r="D82" s="35" t="inlineStr">
        <is>
          <t>Atalanta</t>
        </is>
      </c>
      <c r="E82" s="50" t="n">
        <v>10</v>
      </c>
      <c r="F82" s="50" t="n">
        <v>28</v>
      </c>
    </row>
    <row r="83">
      <c r="A83" s="25" t="inlineStr">
        <is>
          <t>Cambiaso</t>
        </is>
      </c>
      <c r="B83" s="51" t="inlineStr">
        <is>
          <t>D</t>
        </is>
      </c>
      <c r="C83" s="35" t="inlineStr">
        <is>
          <t>Dd;Ds;E</t>
        </is>
      </c>
      <c r="D83" s="35" t="inlineStr">
        <is>
          <t>Juventus</t>
        </is>
      </c>
      <c r="E83" s="50" t="n">
        <v>9</v>
      </c>
      <c r="F83" s="50" t="n">
        <v>27</v>
      </c>
    </row>
    <row r="84">
      <c r="A84" s="25" t="inlineStr">
        <is>
          <t>Chalobah T.</t>
        </is>
      </c>
      <c r="B84" s="51" t="inlineStr">
        <is>
          <t>D</t>
        </is>
      </c>
      <c r="C84" s="35" t="inlineStr">
        <is>
          <t>Dd;Dc</t>
        </is>
      </c>
      <c r="D84" s="35" t="inlineStr">
        <is>
          <t>Como</t>
        </is>
      </c>
      <c r="E84" s="50" t="n">
        <v>9</v>
      </c>
      <c r="F84" s="50" t="n">
        <v>26</v>
      </c>
    </row>
    <row r="85">
      <c r="A85" s="25" t="inlineStr">
        <is>
          <t>Vasquez</t>
        </is>
      </c>
      <c r="B85" s="51" t="inlineStr">
        <is>
          <t>D</t>
        </is>
      </c>
      <c r="C85" s="35" t="inlineStr">
        <is>
          <t>Ds;Dc</t>
        </is>
      </c>
      <c r="D85" s="35" t="inlineStr">
        <is>
          <t>Genoa</t>
        </is>
      </c>
      <c r="E85" s="50" t="n">
        <v>9</v>
      </c>
      <c r="F85" s="50" t="n">
        <v>33</v>
      </c>
    </row>
    <row r="86">
      <c r="A86" s="25" t="inlineStr">
        <is>
          <t>Bartesaghi</t>
        </is>
      </c>
      <c r="B86" s="51" t="inlineStr">
        <is>
          <t>D</t>
        </is>
      </c>
      <c r="C86" s="35" t="inlineStr">
        <is>
          <t>Ds;E</t>
        </is>
      </c>
      <c r="D86" s="35" t="inlineStr">
        <is>
          <t>Milan</t>
        </is>
      </c>
      <c r="E86" s="50" t="n">
        <v>8</v>
      </c>
      <c r="F86" s="50" t="n">
        <v>25</v>
      </c>
    </row>
    <row r="87">
      <c r="A87" s="25" t="inlineStr">
        <is>
          <t>Celik</t>
        </is>
      </c>
      <c r="B87" s="51" t="inlineStr">
        <is>
          <t>D</t>
        </is>
      </c>
      <c r="C87" s="35" t="inlineStr">
        <is>
          <t>B;Dd;E</t>
        </is>
      </c>
      <c r="D87" s="35" t="inlineStr">
        <is>
          <t>Juventus</t>
        </is>
      </c>
      <c r="E87" s="50" t="n">
        <v>8</v>
      </c>
      <c r="F87" s="50" t="n">
        <v>21</v>
      </c>
    </row>
    <row r="88">
      <c r="A88" s="25" t="inlineStr">
        <is>
          <t>Couto</t>
        </is>
      </c>
      <c r="B88" s="51" t="inlineStr">
        <is>
          <t>D</t>
        </is>
      </c>
      <c r="C88" s="35" t="inlineStr">
        <is>
          <t>Dd;E</t>
        </is>
      </c>
      <c r="D88" s="35" t="inlineStr">
        <is>
          <t>Como</t>
        </is>
      </c>
      <c r="E88" s="50" t="n">
        <v>8</v>
      </c>
      <c r="F88" s="50" t="n">
        <v>27</v>
      </c>
    </row>
    <row r="89">
      <c r="A89" s="25" t="inlineStr">
        <is>
          <t>Delprato</t>
        </is>
      </c>
      <c r="B89" s="51" t="inlineStr">
        <is>
          <t>D</t>
        </is>
      </c>
      <c r="C89" s="35" t="inlineStr">
        <is>
          <t>B;Dd;E</t>
        </is>
      </c>
      <c r="D89" s="35" t="inlineStr">
        <is>
          <t>Parma</t>
        </is>
      </c>
      <c r="E89" s="50" t="n">
        <v>8</v>
      </c>
      <c r="F89" s="50" t="n">
        <v>21</v>
      </c>
    </row>
    <row r="90">
      <c r="A90" s="25" t="inlineStr">
        <is>
          <t>Dragusin</t>
        </is>
      </c>
      <c r="B90" s="51" t="inlineStr">
        <is>
          <t>D</t>
        </is>
      </c>
      <c r="C90" s="35" t="inlineStr">
        <is>
          <t>Dc</t>
        </is>
      </c>
      <c r="D90" s="35" t="inlineStr">
        <is>
          <t>Fiorentina</t>
        </is>
      </c>
      <c r="E90" s="50" t="n">
        <v>8</v>
      </c>
      <c r="F90" s="50" t="n">
        <v>27</v>
      </c>
    </row>
    <row r="91">
      <c r="A91" s="25" t="inlineStr">
        <is>
          <t>Hien</t>
        </is>
      </c>
      <c r="B91" s="51" t="inlineStr">
        <is>
          <t>D</t>
        </is>
      </c>
      <c r="C91" s="35" t="inlineStr">
        <is>
          <t>Dc</t>
        </is>
      </c>
      <c r="D91" s="35" t="inlineStr">
        <is>
          <t>Atalanta</t>
        </is>
      </c>
      <c r="E91" s="50" t="n">
        <v>8</v>
      </c>
      <c r="F91" s="50" t="n">
        <v>16</v>
      </c>
    </row>
    <row r="92">
      <c r="A92" s="25" t="inlineStr">
        <is>
          <t>Jimenez A.</t>
        </is>
      </c>
      <c r="B92" s="51" t="inlineStr">
        <is>
          <t>D</t>
        </is>
      </c>
      <c r="C92" s="35" t="inlineStr">
        <is>
          <t>Dd;Ds;E</t>
        </is>
      </c>
      <c r="D92" s="35" t="inlineStr">
        <is>
          <t>Fiorentina</t>
        </is>
      </c>
      <c r="E92" s="50" t="n">
        <v>8</v>
      </c>
      <c r="F92" s="50" t="n">
        <v>23</v>
      </c>
    </row>
    <row r="93">
      <c r="A93" s="25" t="inlineStr">
        <is>
          <t>Koulierakis</t>
        </is>
      </c>
      <c r="B93" s="51" t="inlineStr">
        <is>
          <t>D</t>
        </is>
      </c>
      <c r="C93" s="35" t="inlineStr">
        <is>
          <t>Dc</t>
        </is>
      </c>
      <c r="D93" s="35" t="inlineStr">
        <is>
          <t>Roma</t>
        </is>
      </c>
      <c r="E93" s="50" t="n">
        <v>8</v>
      </c>
      <c r="F93" s="50" t="n">
        <v>20</v>
      </c>
    </row>
    <row r="94">
      <c r="A94" s="25" t="inlineStr">
        <is>
          <t>Lucumì</t>
        </is>
      </c>
      <c r="B94" s="51" t="inlineStr">
        <is>
          <t>D</t>
        </is>
      </c>
      <c r="C94" s="35" t="inlineStr">
        <is>
          <t>Dc</t>
        </is>
      </c>
      <c r="D94" s="35" t="inlineStr">
        <is>
          <t>Bologna</t>
        </is>
      </c>
      <c r="E94" s="50" t="n">
        <v>8</v>
      </c>
      <c r="F94" s="50" t="n">
        <v>18</v>
      </c>
    </row>
    <row r="95">
      <c r="A95" s="25" t="inlineStr">
        <is>
          <t>Mina</t>
        </is>
      </c>
      <c r="B95" s="51" t="inlineStr">
        <is>
          <t>D</t>
        </is>
      </c>
      <c r="C95" s="35" t="inlineStr">
        <is>
          <t>Dc</t>
        </is>
      </c>
      <c r="D95" s="35" t="inlineStr">
        <is>
          <t>Cagliari</t>
        </is>
      </c>
      <c r="E95" s="50" t="n">
        <v>8</v>
      </c>
      <c r="F95" s="50" t="n">
        <v>20</v>
      </c>
    </row>
    <row r="96">
      <c r="A96" s="25" t="inlineStr">
        <is>
          <t>Miranda J.</t>
        </is>
      </c>
      <c r="B96" s="51" t="inlineStr">
        <is>
          <t>D</t>
        </is>
      </c>
      <c r="C96" s="35" t="inlineStr">
        <is>
          <t>Ds;E</t>
        </is>
      </c>
      <c r="D96" s="35" t="inlineStr">
        <is>
          <t>Bologna</t>
        </is>
      </c>
      <c r="E96" s="50" t="n">
        <v>8</v>
      </c>
      <c r="F96" s="50" t="n">
        <v>24</v>
      </c>
    </row>
    <row r="97">
      <c r="A97" s="25" t="inlineStr">
        <is>
          <t>Norton-Cuffy</t>
        </is>
      </c>
      <c r="B97" s="51" t="inlineStr">
        <is>
          <t>D</t>
        </is>
      </c>
      <c r="C97" s="35" t="inlineStr">
        <is>
          <t>Dd;E</t>
        </is>
      </c>
      <c r="D97" s="35" t="inlineStr">
        <is>
          <t>Genoa</t>
        </is>
      </c>
      <c r="E97" s="50" t="n">
        <v>8</v>
      </c>
      <c r="F97" s="50" t="n">
        <v>22</v>
      </c>
    </row>
    <row r="98">
      <c r="A98" s="25" t="inlineStr">
        <is>
          <t>Spinazzola</t>
        </is>
      </c>
      <c r="B98" s="51" t="inlineStr">
        <is>
          <t>D</t>
        </is>
      </c>
      <c r="C98" s="35" t="inlineStr">
        <is>
          <t>Ds;E</t>
        </is>
      </c>
      <c r="D98" s="35" t="inlineStr">
        <is>
          <t>Napoli</t>
        </is>
      </c>
      <c r="E98" s="50" t="n">
        <v>8</v>
      </c>
      <c r="F98" s="50" t="n">
        <v>24</v>
      </c>
    </row>
    <row r="99">
      <c r="A99" s="25" t="inlineStr">
        <is>
          <t>Valeri</t>
        </is>
      </c>
      <c r="B99" s="51" t="inlineStr">
        <is>
          <t>D</t>
        </is>
      </c>
      <c r="C99" s="35" t="inlineStr">
        <is>
          <t>Ds;E</t>
        </is>
      </c>
      <c r="D99" s="35" t="inlineStr">
        <is>
          <t>Parma</t>
        </is>
      </c>
      <c r="E99" s="50" t="n">
        <v>8</v>
      </c>
      <c r="F99" s="50" t="n">
        <v>24</v>
      </c>
    </row>
    <row r="100">
      <c r="A100" s="25" t="inlineStr">
        <is>
          <t>Vojvoda</t>
        </is>
      </c>
      <c r="B100" s="51" t="inlineStr">
        <is>
          <t>D</t>
        </is>
      </c>
      <c r="C100" s="35" t="inlineStr">
        <is>
          <t>Dd;E</t>
        </is>
      </c>
      <c r="D100" s="35" t="inlineStr">
        <is>
          <t>Udinese</t>
        </is>
      </c>
      <c r="E100" s="50" t="n">
        <v>8</v>
      </c>
      <c r="F100" s="50" t="n">
        <v>19</v>
      </c>
    </row>
    <row r="101">
      <c r="A101" s="25" t="inlineStr">
        <is>
          <t>Zappacosta</t>
        </is>
      </c>
      <c r="B101" s="51" t="inlineStr">
        <is>
          <t>D</t>
        </is>
      </c>
      <c r="C101" s="35" t="inlineStr">
        <is>
          <t>Dd;E</t>
        </is>
      </c>
      <c r="D101" s="35" t="inlineStr">
        <is>
          <t>Atalanta</t>
        </is>
      </c>
      <c r="E101" s="50" t="n">
        <v>8</v>
      </c>
      <c r="F101" s="50" t="n">
        <v>24</v>
      </c>
    </row>
    <row r="102">
      <c r="A102" s="25" t="inlineStr">
        <is>
          <t>Buongiorno</t>
        </is>
      </c>
      <c r="B102" s="51" t="inlineStr">
        <is>
          <t>D</t>
        </is>
      </c>
      <c r="C102" s="35" t="inlineStr">
        <is>
          <t>Dc</t>
        </is>
      </c>
      <c r="D102" s="35" t="inlineStr">
        <is>
          <t>Napoli</t>
        </is>
      </c>
      <c r="E102" s="50" t="n">
        <v>7</v>
      </c>
      <c r="F102" s="50" t="n">
        <v>18</v>
      </c>
    </row>
    <row r="103">
      <c r="A103" s="25" t="inlineStr">
        <is>
          <t>Carlos Augusto</t>
        </is>
      </c>
      <c r="B103" s="51" t="inlineStr">
        <is>
          <t>D</t>
        </is>
      </c>
      <c r="C103" s="35" t="inlineStr">
        <is>
          <t>B;Ds;E</t>
        </is>
      </c>
      <c r="D103" s="35" t="inlineStr">
        <is>
          <t>Inter</t>
        </is>
      </c>
      <c r="E103" s="50" t="n">
        <v>7</v>
      </c>
      <c r="F103" s="50" t="n">
        <v>27</v>
      </c>
    </row>
    <row r="104">
      <c r="A104" s="25" t="inlineStr">
        <is>
          <t>Coco</t>
        </is>
      </c>
      <c r="B104" s="51" t="inlineStr">
        <is>
          <t>D</t>
        </is>
      </c>
      <c r="C104" s="35" t="inlineStr">
        <is>
          <t>Dc</t>
        </is>
      </c>
      <c r="D104" s="35" t="inlineStr">
        <is>
          <t>Torino</t>
        </is>
      </c>
      <c r="E104" s="50" t="n">
        <v>7</v>
      </c>
      <c r="F104" s="50" t="n">
        <v>18</v>
      </c>
    </row>
    <row r="105">
      <c r="A105" s="25" t="inlineStr">
        <is>
          <t>Doekhi</t>
        </is>
      </c>
      <c r="B105" s="51" t="inlineStr">
        <is>
          <t>D</t>
        </is>
      </c>
      <c r="C105" s="35" t="inlineStr">
        <is>
          <t>Dc</t>
        </is>
      </c>
      <c r="D105" s="35" t="inlineStr">
        <is>
          <t>Lazio</t>
        </is>
      </c>
      <c r="E105" s="50" t="n">
        <v>7</v>
      </c>
      <c r="F105" s="50" t="n">
        <v>22</v>
      </c>
    </row>
    <row r="106">
      <c r="A106" s="25" t="inlineStr">
        <is>
          <t>Gabbia</t>
        </is>
      </c>
      <c r="B106" s="51" t="inlineStr">
        <is>
          <t>D</t>
        </is>
      </c>
      <c r="C106" s="35" t="inlineStr">
        <is>
          <t>Dc</t>
        </is>
      </c>
      <c r="D106" s="35" t="inlineStr">
        <is>
          <t>Milan</t>
        </is>
      </c>
      <c r="E106" s="50" t="n">
        <v>7</v>
      </c>
      <c r="F106" s="50" t="n">
        <v>23</v>
      </c>
    </row>
    <row r="107">
      <c r="A107" s="25" t="inlineStr">
        <is>
          <t>Idzes</t>
        </is>
      </c>
      <c r="B107" s="51" t="inlineStr">
        <is>
          <t>D</t>
        </is>
      </c>
      <c r="C107" s="35" t="inlineStr">
        <is>
          <t>Dc</t>
        </is>
      </c>
      <c r="D107" s="35" t="inlineStr">
        <is>
          <t>Sassuolo</t>
        </is>
      </c>
      <c r="E107" s="50" t="n">
        <v>7</v>
      </c>
      <c r="F107" s="50" t="n">
        <v>19</v>
      </c>
    </row>
    <row r="108">
      <c r="A108" s="25" t="inlineStr">
        <is>
          <t>Ismajli</t>
        </is>
      </c>
      <c r="B108" s="51" t="inlineStr">
        <is>
          <t>D</t>
        </is>
      </c>
      <c r="C108" s="35" t="inlineStr">
        <is>
          <t>Dc</t>
        </is>
      </c>
      <c r="D108" s="35" t="inlineStr">
        <is>
          <t>Torino</t>
        </is>
      </c>
      <c r="E108" s="50" t="n">
        <v>7</v>
      </c>
      <c r="F108" s="50" t="n">
        <v>18</v>
      </c>
    </row>
    <row r="109">
      <c r="A109" s="25" t="inlineStr">
        <is>
          <t>Kaiki</t>
        </is>
      </c>
      <c r="B109" s="51" t="inlineStr">
        <is>
          <t>D</t>
        </is>
      </c>
      <c r="C109" s="35" t="inlineStr">
        <is>
          <t>Ds;E</t>
        </is>
      </c>
      <c r="D109" s="35" t="inlineStr">
        <is>
          <t>Como</t>
        </is>
      </c>
      <c r="E109" s="50" t="n">
        <v>7</v>
      </c>
      <c r="F109" s="50" t="n">
        <v>23</v>
      </c>
    </row>
    <row r="110">
      <c r="A110" s="25" t="inlineStr">
        <is>
          <t>Kristensen T.</t>
        </is>
      </c>
      <c r="B110" s="51" t="inlineStr">
        <is>
          <t>D</t>
        </is>
      </c>
      <c r="C110" s="35" t="inlineStr">
        <is>
          <t>Dd;Dc</t>
        </is>
      </c>
      <c r="D110" s="35" t="inlineStr">
        <is>
          <t>Udinese</t>
        </is>
      </c>
      <c r="E110" s="50" t="n">
        <v>7</v>
      </c>
      <c r="F110" s="50" t="n">
        <v>15</v>
      </c>
    </row>
    <row r="111">
      <c r="A111" s="25" t="inlineStr">
        <is>
          <t>Obert</t>
        </is>
      </c>
      <c r="B111" s="51" t="inlineStr">
        <is>
          <t>D</t>
        </is>
      </c>
      <c r="C111" s="35" t="inlineStr">
        <is>
          <t>B;Ds;E</t>
        </is>
      </c>
      <c r="D111" s="35" t="inlineStr">
        <is>
          <t>Cagliari</t>
        </is>
      </c>
      <c r="E111" s="50" t="n">
        <v>7</v>
      </c>
      <c r="F111" s="50" t="n">
        <v>14</v>
      </c>
    </row>
    <row r="112">
      <c r="A112" s="25" t="inlineStr">
        <is>
          <t>Romagnoli</t>
        </is>
      </c>
      <c r="B112" s="51" t="inlineStr">
        <is>
          <t>D</t>
        </is>
      </c>
      <c r="C112" s="35" t="inlineStr">
        <is>
          <t>Dc</t>
        </is>
      </c>
      <c r="D112" s="35" t="inlineStr">
        <is>
          <t>Lazio</t>
        </is>
      </c>
      <c r="E112" s="50" t="n">
        <v>7</v>
      </c>
      <c r="F112" s="50" t="n">
        <v>24</v>
      </c>
    </row>
    <row r="113">
      <c r="A113" s="25" t="inlineStr">
        <is>
          <t>Tiago Gabriel</t>
        </is>
      </c>
      <c r="B113" s="51" t="inlineStr">
        <is>
          <t>D</t>
        </is>
      </c>
      <c r="C113" s="35" t="inlineStr">
        <is>
          <t>Dc</t>
        </is>
      </c>
      <c r="D113" s="35" t="inlineStr">
        <is>
          <t>Lecce</t>
        </is>
      </c>
      <c r="E113" s="50" t="n">
        <v>7</v>
      </c>
      <c r="F113" s="50" t="n">
        <v>17</v>
      </c>
    </row>
    <row r="114">
      <c r="A114" s="25" t="inlineStr">
        <is>
          <t>Tomori</t>
        </is>
      </c>
      <c r="B114" s="51" t="inlineStr">
        <is>
          <t>D</t>
        </is>
      </c>
      <c r="C114" s="35" t="inlineStr">
        <is>
          <t>Dc</t>
        </is>
      </c>
      <c r="D114" s="35" t="inlineStr">
        <is>
          <t>Milan</t>
        </is>
      </c>
      <c r="E114" s="50" t="n">
        <v>7</v>
      </c>
      <c r="F114" s="50" t="n">
        <v>20</v>
      </c>
    </row>
    <row r="115">
      <c r="A115" s="25" t="inlineStr">
        <is>
          <t>Ahanor</t>
        </is>
      </c>
      <c r="B115" s="51" t="inlineStr">
        <is>
          <t>D</t>
        </is>
      </c>
      <c r="C115" s="35" t="inlineStr">
        <is>
          <t>B;Ds;E</t>
        </is>
      </c>
      <c r="D115" s="35" t="inlineStr">
        <is>
          <t>Atalanta</t>
        </is>
      </c>
      <c r="E115" s="50" t="n">
        <v>6</v>
      </c>
      <c r="F115" s="50" t="n">
        <v>16</v>
      </c>
    </row>
    <row r="116">
      <c r="A116" s="25" t="inlineStr">
        <is>
          <t>Bella-Kotchap</t>
        </is>
      </c>
      <c r="B116" s="51" t="inlineStr">
        <is>
          <t>D</t>
        </is>
      </c>
      <c r="C116" s="35" t="inlineStr">
        <is>
          <t>Dc</t>
        </is>
      </c>
      <c r="D116" s="35" t="inlineStr">
        <is>
          <t>Venezia</t>
        </is>
      </c>
      <c r="E116" s="50" t="n">
        <v>6</v>
      </c>
      <c r="F116" s="50" t="n">
        <v>13</v>
      </c>
    </row>
    <row r="117">
      <c r="A117" s="25" t="inlineStr">
        <is>
          <t>Bellanova</t>
        </is>
      </c>
      <c r="B117" s="51" t="inlineStr">
        <is>
          <t>D</t>
        </is>
      </c>
      <c r="C117" s="35" t="inlineStr">
        <is>
          <t>Dd;E</t>
        </is>
      </c>
      <c r="D117" s="35" t="inlineStr">
        <is>
          <t>Atalanta</t>
        </is>
      </c>
      <c r="E117" s="50" t="n">
        <v>6</v>
      </c>
      <c r="F117" s="50" t="n">
        <v>15</v>
      </c>
    </row>
    <row r="118">
      <c r="A118" s="25" t="inlineStr">
        <is>
          <t>Bernasconi</t>
        </is>
      </c>
      <c r="B118" s="51" t="inlineStr">
        <is>
          <t>D</t>
        </is>
      </c>
      <c r="C118" s="35" t="inlineStr">
        <is>
          <t>Ds;E</t>
        </is>
      </c>
      <c r="D118" s="35" t="inlineStr">
        <is>
          <t>Atalanta</t>
        </is>
      </c>
      <c r="E118" s="50" t="n">
        <v>6</v>
      </c>
      <c r="F118" s="50" t="n">
        <v>17</v>
      </c>
    </row>
    <row r="119">
      <c r="A119" s="25" t="inlineStr">
        <is>
          <t>Beukema</t>
        </is>
      </c>
      <c r="B119" s="51" t="inlineStr">
        <is>
          <t>D</t>
        </is>
      </c>
      <c r="C119" s="35" t="inlineStr">
        <is>
          <t>Dc</t>
        </is>
      </c>
      <c r="D119" s="35" t="inlineStr">
        <is>
          <t>Napoli</t>
        </is>
      </c>
      <c r="E119" s="50" t="n">
        <v>6</v>
      </c>
      <c r="F119" s="50" t="n">
        <v>16</v>
      </c>
    </row>
    <row r="120">
      <c r="A120" s="25" t="inlineStr">
        <is>
          <t>Circati</t>
        </is>
      </c>
      <c r="B120" s="51" t="inlineStr">
        <is>
          <t>D</t>
        </is>
      </c>
      <c r="C120" s="35" t="inlineStr">
        <is>
          <t>Dc</t>
        </is>
      </c>
      <c r="D120" s="35" t="inlineStr">
        <is>
          <t>Parma</t>
        </is>
      </c>
      <c r="E120" s="50" t="n">
        <v>6</v>
      </c>
      <c r="F120" s="50" t="n">
        <v>18</v>
      </c>
    </row>
    <row r="121">
      <c r="A121" s="25" t="inlineStr">
        <is>
          <t>Comuzzo</t>
        </is>
      </c>
      <c r="B121" s="51" t="inlineStr">
        <is>
          <t>D</t>
        </is>
      </c>
      <c r="C121" s="35" t="inlineStr">
        <is>
          <t>Dc</t>
        </is>
      </c>
      <c r="D121" s="35" t="inlineStr">
        <is>
          <t>Torino</t>
        </is>
      </c>
      <c r="E121" s="50" t="n">
        <v>6</v>
      </c>
      <c r="F121" s="50" t="n">
        <v>11</v>
      </c>
    </row>
    <row r="122">
      <c r="A122" s="25" t="inlineStr">
        <is>
          <t>Gallo</t>
        </is>
      </c>
      <c r="B122" s="51" t="inlineStr">
        <is>
          <t>D</t>
        </is>
      </c>
      <c r="C122" s="35" t="inlineStr">
        <is>
          <t>Ds;E</t>
        </is>
      </c>
      <c r="D122" s="35" t="inlineStr">
        <is>
          <t>Lecce</t>
        </is>
      </c>
      <c r="E122" s="50" t="n">
        <v>6</v>
      </c>
      <c r="F122" s="50" t="n">
        <v>13</v>
      </c>
    </row>
    <row r="123">
      <c r="A123" s="25" t="inlineStr">
        <is>
          <t>Heggem</t>
        </is>
      </c>
      <c r="B123" s="51" t="inlineStr">
        <is>
          <t>D</t>
        </is>
      </c>
      <c r="C123" s="35" t="inlineStr">
        <is>
          <t>Ds;Dc</t>
        </is>
      </c>
      <c r="D123" s="35" t="inlineStr">
        <is>
          <t>Bologna</t>
        </is>
      </c>
      <c r="E123" s="50" t="n">
        <v>6</v>
      </c>
      <c r="F123" s="50" t="n">
        <v>15</v>
      </c>
    </row>
    <row r="124">
      <c r="A124" s="25" t="inlineStr">
        <is>
          <t>Kamara H.</t>
        </is>
      </c>
      <c r="B124" s="51" t="inlineStr">
        <is>
          <t>D</t>
        </is>
      </c>
      <c r="C124" s="35" t="inlineStr">
        <is>
          <t>Ds;E</t>
        </is>
      </c>
      <c r="D124" s="35" t="inlineStr">
        <is>
          <t>Udinese</t>
        </is>
      </c>
      <c r="E124" s="50" t="n">
        <v>6</v>
      </c>
      <c r="F124" s="50" t="n">
        <v>12</v>
      </c>
    </row>
    <row r="125">
      <c r="A125" s="25" t="inlineStr">
        <is>
          <t>Mangas</t>
        </is>
      </c>
      <c r="B125" s="51" t="inlineStr">
        <is>
          <t>D</t>
        </is>
      </c>
      <c r="C125" s="35" t="inlineStr">
        <is>
          <t>Ds;E</t>
        </is>
      </c>
      <c r="D125" s="35" t="inlineStr">
        <is>
          <t>Monza</t>
        </is>
      </c>
      <c r="E125" s="50" t="n">
        <v>6</v>
      </c>
      <c r="F125" s="50" t="n">
        <v>15</v>
      </c>
    </row>
    <row r="126">
      <c r="A126" s="25" t="inlineStr">
        <is>
          <t>Marcandalli</t>
        </is>
      </c>
      <c r="B126" s="51" t="inlineStr">
        <is>
          <t>D</t>
        </is>
      </c>
      <c r="C126" s="35" t="inlineStr">
        <is>
          <t>Dc</t>
        </is>
      </c>
      <c r="D126" s="35" t="inlineStr">
        <is>
          <t>Genoa</t>
        </is>
      </c>
      <c r="E126" s="50" t="n">
        <v>6</v>
      </c>
      <c r="F126" s="50" t="n">
        <v>13</v>
      </c>
    </row>
    <row r="127">
      <c r="A127" s="25" t="inlineStr">
        <is>
          <t>Marusic</t>
        </is>
      </c>
      <c r="B127" s="51" t="inlineStr">
        <is>
          <t>D</t>
        </is>
      </c>
      <c r="C127" s="35" t="inlineStr">
        <is>
          <t>Dd;Ds;E</t>
        </is>
      </c>
      <c r="D127" s="35" t="inlineStr">
        <is>
          <t>Lazio</t>
        </is>
      </c>
      <c r="E127" s="50" t="n">
        <v>6</v>
      </c>
      <c r="F127" s="50" t="n">
        <v>20</v>
      </c>
    </row>
    <row r="128">
      <c r="A128" s="25" t="inlineStr">
        <is>
          <t>Monterisi</t>
        </is>
      </c>
      <c r="B128" s="51" t="inlineStr">
        <is>
          <t>D</t>
        </is>
      </c>
      <c r="C128" s="35" t="inlineStr">
        <is>
          <t>Dc</t>
        </is>
      </c>
      <c r="D128" s="35" t="inlineStr">
        <is>
          <t>Frosinone</t>
        </is>
      </c>
      <c r="E128" s="50" t="n">
        <v>6</v>
      </c>
      <c r="F128" s="50" t="n">
        <v>14</v>
      </c>
    </row>
    <row r="129">
      <c r="A129" s="25" t="inlineStr">
        <is>
          <t>Pavard</t>
        </is>
      </c>
      <c r="B129" s="51" t="inlineStr">
        <is>
          <t>D</t>
        </is>
      </c>
      <c r="C129" s="35" t="inlineStr">
        <is>
          <t>Dd;Dc</t>
        </is>
      </c>
      <c r="D129" s="35" t="inlineStr">
        <is>
          <t>Inter</t>
        </is>
      </c>
      <c r="E129" s="50" t="n">
        <v>6</v>
      </c>
      <c r="F129" s="50" t="n">
        <v>18</v>
      </c>
    </row>
    <row r="130">
      <c r="A130" s="25" t="inlineStr">
        <is>
          <t>Tavares N.</t>
        </is>
      </c>
      <c r="B130" s="51" t="inlineStr">
        <is>
          <t>D</t>
        </is>
      </c>
      <c r="C130" s="35" t="inlineStr">
        <is>
          <t>Ds;E</t>
        </is>
      </c>
      <c r="D130" s="35" t="inlineStr">
        <is>
          <t>Lazio</t>
        </is>
      </c>
      <c r="E130" s="50" t="n">
        <v>6</v>
      </c>
      <c r="F130" s="50" t="n">
        <v>17</v>
      </c>
    </row>
    <row r="131">
      <c r="A131" s="25" t="inlineStr">
        <is>
          <t>Valdepenas</t>
        </is>
      </c>
      <c r="B131" s="51" t="inlineStr">
        <is>
          <t>D</t>
        </is>
      </c>
      <c r="C131" s="35" t="inlineStr">
        <is>
          <t>Ds;Dc</t>
        </is>
      </c>
      <c r="D131" s="35" t="inlineStr">
        <is>
          <t>Fiorentina</t>
        </is>
      </c>
      <c r="E131" s="50" t="n">
        <v>6</v>
      </c>
      <c r="F131" s="50" t="n">
        <v>18</v>
      </c>
    </row>
    <row r="132">
      <c r="A132" s="25" t="inlineStr">
        <is>
          <t>Valle</t>
        </is>
      </c>
      <c r="B132" s="51" t="inlineStr">
        <is>
          <t>D</t>
        </is>
      </c>
      <c r="C132" s="35" t="inlineStr">
        <is>
          <t>Ds;E</t>
        </is>
      </c>
      <c r="D132" s="35" t="inlineStr">
        <is>
          <t>Como</t>
        </is>
      </c>
      <c r="E132" s="50" t="n">
        <v>6</v>
      </c>
      <c r="F132" s="50" t="n">
        <v>18</v>
      </c>
    </row>
    <row r="133">
      <c r="A133" s="25" t="inlineStr">
        <is>
          <t>Viery</t>
        </is>
      </c>
      <c r="B133" s="51" t="inlineStr">
        <is>
          <t>D</t>
        </is>
      </c>
      <c r="C133" s="35" t="inlineStr">
        <is>
          <t>Ds;Dc</t>
        </is>
      </c>
      <c r="D133" s="35" t="inlineStr">
        <is>
          <t>Fiorentina</t>
        </is>
      </c>
      <c r="E133" s="50" t="n">
        <v>6</v>
      </c>
      <c r="F133" s="50" t="n">
        <v>19</v>
      </c>
    </row>
    <row r="134">
      <c r="A134" s="25" t="inlineStr">
        <is>
          <t>Zortea</t>
        </is>
      </c>
      <c r="B134" s="51" t="inlineStr">
        <is>
          <t>D</t>
        </is>
      </c>
      <c r="C134" s="35" t="inlineStr">
        <is>
          <t>Dd;E</t>
        </is>
      </c>
      <c r="D134" s="35" t="inlineStr">
        <is>
          <t>Bologna</t>
        </is>
      </c>
      <c r="E134" s="50" t="n">
        <v>6</v>
      </c>
      <c r="F134" s="50" t="n">
        <v>19</v>
      </c>
    </row>
    <row r="135">
      <c r="A135" s="25" t="inlineStr">
        <is>
          <t>Bracaglia</t>
        </is>
      </c>
      <c r="B135" s="51" t="inlineStr">
        <is>
          <t>D</t>
        </is>
      </c>
      <c r="C135" s="35" t="inlineStr">
        <is>
          <t>Ds;Dc</t>
        </is>
      </c>
      <c r="D135" s="35" t="inlineStr">
        <is>
          <t>Frosinone</t>
        </is>
      </c>
      <c r="E135" s="50" t="n">
        <v>5</v>
      </c>
      <c r="F135" s="50" t="n">
        <v>11</v>
      </c>
    </row>
    <row r="136">
      <c r="A136" s="25" t="inlineStr">
        <is>
          <t>Gaspar K.</t>
        </is>
      </c>
      <c r="B136" s="51" t="inlineStr">
        <is>
          <t>D</t>
        </is>
      </c>
      <c r="C136" s="35" t="inlineStr">
        <is>
          <t>Dc</t>
        </is>
      </c>
      <c r="D136" s="35" t="inlineStr">
        <is>
          <t>Lecce</t>
        </is>
      </c>
      <c r="E136" s="50" t="n">
        <v>5</v>
      </c>
      <c r="F136" s="50" t="n">
        <v>12</v>
      </c>
    </row>
    <row r="137">
      <c r="A137" s="25" t="inlineStr">
        <is>
          <t>Haps</t>
        </is>
      </c>
      <c r="B137" s="51" t="inlineStr">
        <is>
          <t>D</t>
        </is>
      </c>
      <c r="C137" s="35" t="inlineStr">
        <is>
          <t>Ds;E</t>
        </is>
      </c>
      <c r="D137" s="35" t="inlineStr">
        <is>
          <t>Venezia</t>
        </is>
      </c>
      <c r="E137" s="50" t="n">
        <v>5</v>
      </c>
      <c r="F137" s="50" t="n">
        <v>11</v>
      </c>
    </row>
    <row r="138">
      <c r="A138" s="25" t="inlineStr">
        <is>
          <t>Holm</t>
        </is>
      </c>
      <c r="B138" s="51" t="inlineStr">
        <is>
          <t>D</t>
        </is>
      </c>
      <c r="C138" s="35" t="inlineStr">
        <is>
          <t>Dd;E</t>
        </is>
      </c>
      <c r="D138" s="35" t="inlineStr">
        <is>
          <t>Bologna</t>
        </is>
      </c>
      <c r="E138" s="50" t="n">
        <v>5</v>
      </c>
      <c r="F138" s="50" t="n">
        <v>13</v>
      </c>
    </row>
    <row r="139">
      <c r="A139" s="25" t="inlineStr">
        <is>
          <t>Kelly L.</t>
        </is>
      </c>
      <c r="B139" s="51" t="inlineStr">
        <is>
          <t>D</t>
        </is>
      </c>
      <c r="C139" s="35" t="inlineStr">
        <is>
          <t>Ds;Dc</t>
        </is>
      </c>
      <c r="D139" s="35" t="inlineStr">
        <is>
          <t>Juventus</t>
        </is>
      </c>
      <c r="E139" s="50" t="n">
        <v>5</v>
      </c>
      <c r="F139" s="50" t="n">
        <v>13</v>
      </c>
    </row>
    <row r="140">
      <c r="A140" s="25" t="inlineStr">
        <is>
          <t>Kempf</t>
        </is>
      </c>
      <c r="B140" s="51" t="inlineStr">
        <is>
          <t>D</t>
        </is>
      </c>
      <c r="C140" s="35" t="inlineStr">
        <is>
          <t>Dc</t>
        </is>
      </c>
      <c r="D140" s="35" t="inlineStr">
        <is>
          <t>Como</t>
        </is>
      </c>
      <c r="E140" s="50" t="n">
        <v>5</v>
      </c>
      <c r="F140" s="50" t="n">
        <v>13</v>
      </c>
    </row>
    <row r="141">
      <c r="A141" s="25" t="inlineStr">
        <is>
          <t>Kofler</t>
        </is>
      </c>
      <c r="B141" s="51" t="inlineStr">
        <is>
          <t>D</t>
        </is>
      </c>
      <c r="C141" s="35" t="inlineStr">
        <is>
          <t>Dc</t>
        </is>
      </c>
      <c r="D141" s="35" t="inlineStr">
        <is>
          <t>Cagliari</t>
        </is>
      </c>
      <c r="E141" s="50" t="n">
        <v>5</v>
      </c>
      <c r="F141" s="50" t="n">
        <v>11</v>
      </c>
    </row>
    <row r="142">
      <c r="A142" s="25" t="inlineStr">
        <is>
          <t>Kolasinac</t>
        </is>
      </c>
      <c r="B142" s="51" t="inlineStr">
        <is>
          <t>D</t>
        </is>
      </c>
      <c r="C142" s="35" t="inlineStr">
        <is>
          <t>Ds;Dc</t>
        </is>
      </c>
      <c r="D142" s="35" t="inlineStr">
        <is>
          <t>Atalanta</t>
        </is>
      </c>
      <c r="E142" s="50" t="n">
        <v>5</v>
      </c>
      <c r="F142" s="50" t="n">
        <v>12</v>
      </c>
    </row>
    <row r="143">
      <c r="A143" s="25" t="inlineStr">
        <is>
          <t>Martin</t>
        </is>
      </c>
      <c r="B143" s="51" t="inlineStr">
        <is>
          <t>D</t>
        </is>
      </c>
      <c r="C143" s="35" t="inlineStr">
        <is>
          <t>Ds;E</t>
        </is>
      </c>
      <c r="D143" s="35" t="inlineStr">
        <is>
          <t>Genoa</t>
        </is>
      </c>
      <c r="E143" s="50" t="n">
        <v>5</v>
      </c>
      <c r="F143" s="50" t="n">
        <v>15</v>
      </c>
    </row>
    <row r="144">
      <c r="A144" s="25" t="inlineStr">
        <is>
          <t>Moreno M.</t>
        </is>
      </c>
      <c r="B144" s="51" t="inlineStr">
        <is>
          <t>D</t>
        </is>
      </c>
      <c r="C144" s="35" t="inlineStr">
        <is>
          <t>Dc</t>
        </is>
      </c>
      <c r="D144" s="35" t="inlineStr">
        <is>
          <t>Venezia</t>
        </is>
      </c>
      <c r="E144" s="50" t="n">
        <v>5</v>
      </c>
      <c r="F144" s="50" t="n">
        <v>11</v>
      </c>
    </row>
    <row r="145">
      <c r="A145" s="25" t="inlineStr">
        <is>
          <t>Olivera</t>
        </is>
      </c>
      <c r="B145" s="51" t="inlineStr">
        <is>
          <t>D</t>
        </is>
      </c>
      <c r="C145" s="35" t="inlineStr">
        <is>
          <t>B;Ds;E</t>
        </is>
      </c>
      <c r="D145" s="35" t="inlineStr">
        <is>
          <t>Napoli</t>
        </is>
      </c>
      <c r="E145" s="50" t="n">
        <v>5</v>
      </c>
      <c r="F145" s="50" t="n">
        <v>13</v>
      </c>
    </row>
    <row r="146">
      <c r="A146" s="25" t="inlineStr">
        <is>
          <t>Oyono A.</t>
        </is>
      </c>
      <c r="B146" s="51" t="inlineStr">
        <is>
          <t>D</t>
        </is>
      </c>
      <c r="C146" s="35" t="inlineStr">
        <is>
          <t>Dd;E</t>
        </is>
      </c>
      <c r="D146" s="35" t="inlineStr">
        <is>
          <t>Frosinone</t>
        </is>
      </c>
      <c r="E146" s="50" t="n">
        <v>5</v>
      </c>
      <c r="F146" s="50" t="n">
        <v>12</v>
      </c>
    </row>
    <row r="147">
      <c r="A147" s="25" t="inlineStr">
        <is>
          <t>Parisi</t>
        </is>
      </c>
      <c r="B147" s="51" t="inlineStr">
        <is>
          <t>D</t>
        </is>
      </c>
      <c r="C147" s="35" t="inlineStr">
        <is>
          <t>Ds;E</t>
        </is>
      </c>
      <c r="D147" s="35" t="inlineStr">
        <is>
          <t>Fiorentina</t>
        </is>
      </c>
      <c r="E147" s="50" t="n">
        <v>5</v>
      </c>
      <c r="F147" s="50" t="n">
        <v>12</v>
      </c>
    </row>
    <row r="148">
      <c r="A148" s="25" t="inlineStr">
        <is>
          <t>Pedersen</t>
        </is>
      </c>
      <c r="B148" s="51" t="inlineStr">
        <is>
          <t>D</t>
        </is>
      </c>
      <c r="C148" s="35" t="inlineStr">
        <is>
          <t>Dd;E</t>
        </is>
      </c>
      <c r="D148" s="35" t="inlineStr">
        <is>
          <t>Torino</t>
        </is>
      </c>
      <c r="E148" s="50" t="n">
        <v>5</v>
      </c>
      <c r="F148" s="50" t="n">
        <v>13</v>
      </c>
    </row>
    <row r="149">
      <c r="A149" s="25" t="inlineStr">
        <is>
          <t>Pedraza</t>
        </is>
      </c>
      <c r="B149" s="51" t="inlineStr">
        <is>
          <t>D</t>
        </is>
      </c>
      <c r="C149" s="35" t="inlineStr">
        <is>
          <t>Ds;E</t>
        </is>
      </c>
      <c r="D149" s="35" t="inlineStr">
        <is>
          <t>Lazio</t>
        </is>
      </c>
      <c r="E149" s="50" t="n">
        <v>5</v>
      </c>
      <c r="F149" s="50" t="n">
        <v>15</v>
      </c>
    </row>
    <row r="150">
      <c r="A150" s="25" t="inlineStr">
        <is>
          <t>Rensch</t>
        </is>
      </c>
      <c r="B150" s="51" t="inlineStr">
        <is>
          <t>D</t>
        </is>
      </c>
      <c r="C150" s="35" t="inlineStr">
        <is>
          <t>B;Dd;E</t>
        </is>
      </c>
      <c r="D150" s="35" t="inlineStr">
        <is>
          <t>Roma</t>
        </is>
      </c>
      <c r="E150" s="50" t="n">
        <v>5</v>
      </c>
      <c r="F150" s="50" t="n">
        <v>16</v>
      </c>
    </row>
    <row r="151">
      <c r="A151" s="25" t="inlineStr">
        <is>
          <t>Veiga D.</t>
        </is>
      </c>
      <c r="B151" s="51" t="inlineStr">
        <is>
          <t>D</t>
        </is>
      </c>
      <c r="C151" s="35" t="inlineStr">
        <is>
          <t>Dd;E</t>
        </is>
      </c>
      <c r="D151" s="35" t="inlineStr">
        <is>
          <t>Lecce</t>
        </is>
      </c>
      <c r="E151" s="50" t="n">
        <v>5</v>
      </c>
      <c r="F151" s="50" t="n">
        <v>11</v>
      </c>
    </row>
    <row r="152">
      <c r="A152" s="25" t="inlineStr">
        <is>
          <t>Vitik</t>
        </is>
      </c>
      <c r="B152" s="51" t="inlineStr">
        <is>
          <t>D</t>
        </is>
      </c>
      <c r="C152" s="35" t="inlineStr">
        <is>
          <t>Dc</t>
        </is>
      </c>
      <c r="D152" s="35" t="inlineStr">
        <is>
          <t>Bologna</t>
        </is>
      </c>
      <c r="E152" s="50" t="n">
        <v>5</v>
      </c>
      <c r="F152" s="50" t="n">
        <v>11</v>
      </c>
    </row>
    <row r="153">
      <c r="A153" s="25" t="inlineStr">
        <is>
          <t>Zè Pedro</t>
        </is>
      </c>
      <c r="B153" s="51" t="inlineStr">
        <is>
          <t>D</t>
        </is>
      </c>
      <c r="C153" s="35" t="inlineStr">
        <is>
          <t>Dd;Dc</t>
        </is>
      </c>
      <c r="D153" s="35" t="inlineStr">
        <is>
          <t>Cagliari</t>
        </is>
      </c>
      <c r="E153" s="50" t="n">
        <v>5</v>
      </c>
      <c r="F153" s="50" t="n">
        <v>11</v>
      </c>
    </row>
    <row r="154">
      <c r="A154" s="25" t="inlineStr">
        <is>
          <t>Arizala</t>
        </is>
      </c>
      <c r="B154" s="51" t="inlineStr">
        <is>
          <t>D</t>
        </is>
      </c>
      <c r="C154" s="35" t="inlineStr">
        <is>
          <t>Ds;E</t>
        </is>
      </c>
      <c r="D154" s="35" t="inlineStr">
        <is>
          <t>Udinese</t>
        </is>
      </c>
      <c r="E154" s="50" t="n">
        <v>4</v>
      </c>
      <c r="F154" s="50" t="n">
        <v>8</v>
      </c>
    </row>
    <row r="155">
      <c r="A155" s="25" t="inlineStr">
        <is>
          <t>Bertola</t>
        </is>
      </c>
      <c r="B155" s="51" t="inlineStr">
        <is>
          <t>D</t>
        </is>
      </c>
      <c r="C155" s="35" t="inlineStr">
        <is>
          <t>Dd;Ds;Dc</t>
        </is>
      </c>
      <c r="D155" s="35" t="inlineStr">
        <is>
          <t>Udinese</t>
        </is>
      </c>
      <c r="E155" s="50" t="n">
        <v>4</v>
      </c>
      <c r="F155" s="50" t="n">
        <v>10</v>
      </c>
    </row>
    <row r="156">
      <c r="A156" s="25" t="inlineStr">
        <is>
          <t>Birindelli</t>
        </is>
      </c>
      <c r="B156" s="51" t="inlineStr">
        <is>
          <t>D</t>
        </is>
      </c>
      <c r="C156" s="35" t="inlineStr">
        <is>
          <t>Dd;Ds;E</t>
        </is>
      </c>
      <c r="D156" s="35" t="inlineStr">
        <is>
          <t>Monza</t>
        </is>
      </c>
      <c r="E156" s="50" t="n">
        <v>4</v>
      </c>
      <c r="F156" s="50" t="n">
        <v>12</v>
      </c>
    </row>
    <row r="157">
      <c r="A157" s="25" t="inlineStr">
        <is>
          <t>Calvani</t>
        </is>
      </c>
      <c r="B157" s="51" t="inlineStr">
        <is>
          <t>D</t>
        </is>
      </c>
      <c r="C157" s="35" t="inlineStr">
        <is>
          <t>Dc</t>
        </is>
      </c>
      <c r="D157" s="35" t="inlineStr">
        <is>
          <t>Frosinone</t>
        </is>
      </c>
      <c r="E157" s="50" t="n">
        <v>4</v>
      </c>
      <c r="F157" s="50" t="n">
        <v>10</v>
      </c>
    </row>
    <row r="158">
      <c r="A158" s="25" t="inlineStr">
        <is>
          <t>Comert</t>
        </is>
      </c>
      <c r="B158" s="51" t="inlineStr">
        <is>
          <t>D</t>
        </is>
      </c>
      <c r="C158" s="35" t="inlineStr">
        <is>
          <t>Dc</t>
        </is>
      </c>
      <c r="D158" s="35" t="inlineStr">
        <is>
          <t>Torino</t>
        </is>
      </c>
      <c r="E158" s="50" t="n">
        <v>4</v>
      </c>
      <c r="F158" s="50" t="n">
        <v>10</v>
      </c>
    </row>
    <row r="159">
      <c r="A159" s="25" t="inlineStr">
        <is>
          <t>Correia T.</t>
        </is>
      </c>
      <c r="B159" s="51" t="inlineStr">
        <is>
          <t>D</t>
        </is>
      </c>
      <c r="C159" s="35" t="inlineStr">
        <is>
          <t>Dd;E</t>
        </is>
      </c>
      <c r="D159" s="35" t="inlineStr">
        <is>
          <t>Venezia</t>
        </is>
      </c>
      <c r="E159" s="50" t="n">
        <v>4</v>
      </c>
      <c r="F159" s="50" t="n">
        <v>12</v>
      </c>
    </row>
    <row r="160">
      <c r="A160" s="25" t="inlineStr">
        <is>
          <t>Delli Carri</t>
        </is>
      </c>
      <c r="B160" s="51" t="inlineStr">
        <is>
          <t>D</t>
        </is>
      </c>
      <c r="C160" s="35" t="inlineStr">
        <is>
          <t>Dc</t>
        </is>
      </c>
      <c r="D160" s="35" t="inlineStr">
        <is>
          <t>Monza</t>
        </is>
      </c>
      <c r="E160" s="50" t="n">
        <v>4</v>
      </c>
      <c r="F160" s="50" t="n">
        <v>11</v>
      </c>
    </row>
    <row r="161">
      <c r="A161" s="25" t="inlineStr">
        <is>
          <t>Doig</t>
        </is>
      </c>
      <c r="B161" s="51" t="inlineStr">
        <is>
          <t>D</t>
        </is>
      </c>
      <c r="C161" s="35" t="inlineStr">
        <is>
          <t>Ds;E</t>
        </is>
      </c>
      <c r="D161" s="35" t="inlineStr">
        <is>
          <t>Sassuolo</t>
        </is>
      </c>
      <c r="E161" s="50" t="n">
        <v>4</v>
      </c>
      <c r="F161" s="50" t="n">
        <v>13</v>
      </c>
    </row>
    <row r="162">
      <c r="A162" s="25" t="inlineStr">
        <is>
          <t>Gatti</t>
        </is>
      </c>
      <c r="B162" s="51" t="inlineStr">
        <is>
          <t>D</t>
        </is>
      </c>
      <c r="C162" s="35" t="inlineStr">
        <is>
          <t>Dc</t>
        </is>
      </c>
      <c r="D162" s="35" t="inlineStr">
        <is>
          <t>Juventus</t>
        </is>
      </c>
      <c r="E162" s="50" t="n">
        <v>4</v>
      </c>
      <c r="F162" s="50" t="n">
        <v>10</v>
      </c>
    </row>
    <row r="163">
      <c r="A163" s="25" t="inlineStr">
        <is>
          <t>Ghilardi</t>
        </is>
      </c>
      <c r="B163" s="51" t="inlineStr">
        <is>
          <t>D</t>
        </is>
      </c>
      <c r="C163" s="35" t="inlineStr">
        <is>
          <t>Dc</t>
        </is>
      </c>
      <c r="D163" s="35" t="inlineStr">
        <is>
          <t>Roma</t>
        </is>
      </c>
      <c r="E163" s="50" t="n">
        <v>4</v>
      </c>
      <c r="F163" s="50" t="n">
        <v>10</v>
      </c>
    </row>
    <row r="164">
      <c r="A164" s="25" t="inlineStr">
        <is>
          <t>Halhal</t>
        </is>
      </c>
      <c r="B164" s="51" t="inlineStr">
        <is>
          <t>D</t>
        </is>
      </c>
      <c r="C164" s="35" t="inlineStr">
        <is>
          <t>Dc</t>
        </is>
      </c>
      <c r="D164" s="35" t="inlineStr">
        <is>
          <t>Venezia</t>
        </is>
      </c>
      <c r="E164" s="50" t="n">
        <v>4</v>
      </c>
      <c r="F164" s="50" t="n">
        <v>10</v>
      </c>
    </row>
    <row r="165">
      <c r="A165" s="25" t="inlineStr">
        <is>
          <t>Kabasele</t>
        </is>
      </c>
      <c r="B165" s="51" t="inlineStr">
        <is>
          <t>D</t>
        </is>
      </c>
      <c r="C165" s="35" t="inlineStr">
        <is>
          <t>Dc</t>
        </is>
      </c>
      <c r="D165" s="35" t="inlineStr">
        <is>
          <t>Udinese</t>
        </is>
      </c>
      <c r="E165" s="50" t="n">
        <v>4</v>
      </c>
      <c r="F165" s="50" t="n">
        <v>9</v>
      </c>
    </row>
    <row r="166">
      <c r="A166" s="25" t="inlineStr">
        <is>
          <t>Lucchesi</t>
        </is>
      </c>
      <c r="B166" s="51" t="inlineStr">
        <is>
          <t>D</t>
        </is>
      </c>
      <c r="C166" s="35" t="inlineStr">
        <is>
          <t>Dc</t>
        </is>
      </c>
      <c r="D166" s="35" t="inlineStr">
        <is>
          <t>Monza</t>
        </is>
      </c>
      <c r="E166" s="50" t="n">
        <v>4</v>
      </c>
      <c r="F166" s="50" t="n">
        <v>12</v>
      </c>
    </row>
    <row r="167">
      <c r="A167" s="25" t="inlineStr">
        <is>
          <t>Mitaj</t>
        </is>
      </c>
      <c r="B167" s="51" t="inlineStr">
        <is>
          <t>D</t>
        </is>
      </c>
      <c r="C167" s="35" t="inlineStr">
        <is>
          <t>Ds;E</t>
        </is>
      </c>
      <c r="D167" s="35" t="inlineStr">
        <is>
          <t>Genoa</t>
        </is>
      </c>
      <c r="E167" s="50" t="n">
        <v>4</v>
      </c>
      <c r="F167" s="50" t="n">
        <v>9</v>
      </c>
    </row>
    <row r="168">
      <c r="A168" s="25" t="inlineStr">
        <is>
          <t>Pongracic</t>
        </is>
      </c>
      <c r="B168" s="51" t="inlineStr">
        <is>
          <t>D</t>
        </is>
      </c>
      <c r="C168" s="35" t="inlineStr">
        <is>
          <t>Dc</t>
        </is>
      </c>
      <c r="D168" s="35" t="inlineStr">
        <is>
          <t>Fiorentina</t>
        </is>
      </c>
      <c r="E168" s="50" t="n">
        <v>4</v>
      </c>
      <c r="F168" s="50" t="n">
        <v>8</v>
      </c>
    </row>
    <row r="169">
      <c r="A169" s="25" t="inlineStr">
        <is>
          <t>Siebert</t>
        </is>
      </c>
      <c r="B169" s="51" t="inlineStr">
        <is>
          <t>D</t>
        </is>
      </c>
      <c r="C169" s="35" t="inlineStr">
        <is>
          <t>Dc</t>
        </is>
      </c>
      <c r="D169" s="35" t="inlineStr">
        <is>
          <t>Lecce</t>
        </is>
      </c>
      <c r="E169" s="50" t="n">
        <v>4</v>
      </c>
      <c r="F169" s="50" t="n">
        <v>12</v>
      </c>
    </row>
    <row r="170">
      <c r="A170" s="25" t="inlineStr">
        <is>
          <t>Smolcic I.</t>
        </is>
      </c>
      <c r="B170" s="51" t="inlineStr">
        <is>
          <t>D</t>
        </is>
      </c>
      <c r="C170" s="35" t="inlineStr">
        <is>
          <t>Dd;E</t>
        </is>
      </c>
      <c r="D170" s="35" t="inlineStr">
        <is>
          <t>Como</t>
        </is>
      </c>
      <c r="E170" s="50" t="n">
        <v>4</v>
      </c>
      <c r="F170" s="50" t="n">
        <v>10</v>
      </c>
    </row>
    <row r="171">
      <c r="A171" s="25" t="inlineStr">
        <is>
          <t>Valenti</t>
        </is>
      </c>
      <c r="B171" s="51" t="inlineStr">
        <is>
          <t>D</t>
        </is>
      </c>
      <c r="C171" s="35" t="inlineStr">
        <is>
          <t>Dc</t>
        </is>
      </c>
      <c r="D171" s="35" t="inlineStr">
        <is>
          <t>Parma</t>
        </is>
      </c>
      <c r="E171" s="50" t="n">
        <v>4</v>
      </c>
      <c r="F171" s="50" t="n">
        <v>10</v>
      </c>
    </row>
    <row r="172">
      <c r="A172" s="25" t="inlineStr">
        <is>
          <t>Walukiewicz</t>
        </is>
      </c>
      <c r="B172" s="51" t="inlineStr">
        <is>
          <t>D</t>
        </is>
      </c>
      <c r="C172" s="35" t="inlineStr">
        <is>
          <t>Dd;Dc</t>
        </is>
      </c>
      <c r="D172" s="35" t="inlineStr">
        <is>
          <t>Sassuolo</t>
        </is>
      </c>
      <c r="E172" s="50" t="n">
        <v>4</v>
      </c>
      <c r="F172" s="50" t="n">
        <v>10</v>
      </c>
    </row>
    <row r="173">
      <c r="A173" s="25" t="inlineStr">
        <is>
          <t>Zanoli</t>
        </is>
      </c>
      <c r="B173" s="51" t="inlineStr">
        <is>
          <t>D</t>
        </is>
      </c>
      <c r="C173" s="35" t="inlineStr">
        <is>
          <t>Dd;E</t>
        </is>
      </c>
      <c r="D173" s="35" t="inlineStr">
        <is>
          <t>Udinese</t>
        </is>
      </c>
      <c r="E173" s="50" t="n">
        <v>4</v>
      </c>
      <c r="F173" s="50" t="n">
        <v>10</v>
      </c>
    </row>
    <row r="174">
      <c r="A174" s="25" t="inlineStr">
        <is>
          <t>Zappa</t>
        </is>
      </c>
      <c r="B174" s="51" t="inlineStr">
        <is>
          <t>D</t>
        </is>
      </c>
      <c r="C174" s="35" t="inlineStr">
        <is>
          <t>B;Dd;E</t>
        </is>
      </c>
      <c r="D174" s="35" t="inlineStr">
        <is>
          <t>Cagliari</t>
        </is>
      </c>
      <c r="E174" s="50" t="n">
        <v>4</v>
      </c>
      <c r="F174" s="50" t="n">
        <v>9</v>
      </c>
    </row>
    <row r="175">
      <c r="A175" s="25" t="inlineStr">
        <is>
          <t>Akpoguma</t>
        </is>
      </c>
      <c r="B175" s="51" t="inlineStr">
        <is>
          <t>D</t>
        </is>
      </c>
      <c r="C175" s="35" t="inlineStr">
        <is>
          <t>Dc</t>
        </is>
      </c>
      <c r="D175" s="35" t="inlineStr">
        <is>
          <t>Frosinone</t>
        </is>
      </c>
      <c r="E175" s="50" t="n">
        <v>3</v>
      </c>
      <c r="F175" s="50" t="n">
        <v>7</v>
      </c>
    </row>
    <row r="176">
      <c r="A176" s="25" t="inlineStr">
        <is>
          <t>Athekame</t>
        </is>
      </c>
      <c r="B176" s="51" t="inlineStr">
        <is>
          <t>D</t>
        </is>
      </c>
      <c r="C176" s="35" t="inlineStr">
        <is>
          <t>Dd;E</t>
        </is>
      </c>
      <c r="D176" s="35" t="inlineStr">
        <is>
          <t>Milan</t>
        </is>
      </c>
      <c r="E176" s="50" t="n">
        <v>3</v>
      </c>
      <c r="F176" s="50" t="n">
        <v>8</v>
      </c>
    </row>
    <row r="177">
      <c r="A177" s="25" t="inlineStr">
        <is>
          <t>Britschgi</t>
        </is>
      </c>
      <c r="B177" s="51" t="inlineStr">
        <is>
          <t>D</t>
        </is>
      </c>
      <c r="C177" s="35" t="inlineStr">
        <is>
          <t>Dd;Ds;E</t>
        </is>
      </c>
      <c r="D177" s="35" t="inlineStr">
        <is>
          <t>Parma</t>
        </is>
      </c>
      <c r="E177" s="50" t="n">
        <v>3</v>
      </c>
      <c r="F177" s="50" t="n">
        <v>10</v>
      </c>
    </row>
    <row r="178">
      <c r="A178" s="25" t="inlineStr">
        <is>
          <t>Candè</t>
        </is>
      </c>
      <c r="B178" s="51" t="inlineStr">
        <is>
          <t>D</t>
        </is>
      </c>
      <c r="C178" s="35" t="inlineStr">
        <is>
          <t>Ds;Dc</t>
        </is>
      </c>
      <c r="D178" s="35" t="inlineStr">
        <is>
          <t>Sassuolo</t>
        </is>
      </c>
      <c r="E178" s="50" t="n">
        <v>3</v>
      </c>
      <c r="F178" s="50" t="n">
        <v>12</v>
      </c>
    </row>
    <row r="179">
      <c r="A179" s="25" t="inlineStr">
        <is>
          <t>Carboni A.</t>
        </is>
      </c>
      <c r="B179" s="51" t="inlineStr">
        <is>
          <t>D</t>
        </is>
      </c>
      <c r="C179" s="35" t="inlineStr">
        <is>
          <t>Ds;Dc</t>
        </is>
      </c>
      <c r="D179" s="35" t="inlineStr">
        <is>
          <t>Monza</t>
        </is>
      </c>
      <c r="E179" s="50" t="n">
        <v>3</v>
      </c>
      <c r="F179" s="50" t="n">
        <v>9</v>
      </c>
    </row>
    <row r="180">
      <c r="A180" s="25" t="inlineStr">
        <is>
          <t>Casale</t>
        </is>
      </c>
      <c r="B180" s="51" t="inlineStr">
        <is>
          <t>D</t>
        </is>
      </c>
      <c r="C180" s="35" t="inlineStr">
        <is>
          <t>Dc</t>
        </is>
      </c>
      <c r="D180" s="35" t="inlineStr">
        <is>
          <t>Bologna</t>
        </is>
      </c>
      <c r="E180" s="50" t="n">
        <v>3</v>
      </c>
      <c r="F180" s="50" t="n">
        <v>6</v>
      </c>
    </row>
    <row r="181">
      <c r="A181" s="25" t="inlineStr">
        <is>
          <t>Cittadini</t>
        </is>
      </c>
      <c r="B181" s="51" t="inlineStr">
        <is>
          <t>D</t>
        </is>
      </c>
      <c r="C181" s="35" t="inlineStr">
        <is>
          <t>Dc</t>
        </is>
      </c>
      <c r="D181" s="35" t="inlineStr">
        <is>
          <t>Frosinone</t>
        </is>
      </c>
      <c r="E181" s="50" t="n">
        <v>3</v>
      </c>
      <c r="F181" s="50" t="n">
        <v>8</v>
      </c>
    </row>
    <row r="182">
      <c r="A182" s="25" t="inlineStr">
        <is>
          <t>De Winter</t>
        </is>
      </c>
      <c r="B182" s="51" t="inlineStr">
        <is>
          <t>D</t>
        </is>
      </c>
      <c r="C182" s="35" t="inlineStr">
        <is>
          <t>Dd;Dc</t>
        </is>
      </c>
      <c r="D182" s="35" t="inlineStr">
        <is>
          <t>Milan</t>
        </is>
      </c>
      <c r="E182" s="50" t="n">
        <v>3</v>
      </c>
      <c r="F182" s="50" t="n">
        <v>12</v>
      </c>
    </row>
    <row r="183">
      <c r="A183" s="25" t="inlineStr">
        <is>
          <t>Estupinan</t>
        </is>
      </c>
      <c r="B183" s="51" t="inlineStr">
        <is>
          <t>D</t>
        </is>
      </c>
      <c r="C183" s="35" t="inlineStr">
        <is>
          <t>Ds;E</t>
        </is>
      </c>
      <c r="D183" s="35" t="inlineStr">
        <is>
          <t>Milan</t>
        </is>
      </c>
      <c r="E183" s="50" t="n">
        <v>3</v>
      </c>
      <c r="F183" s="50" t="n">
        <v>9</v>
      </c>
    </row>
    <row r="184">
      <c r="A184" s="25" t="inlineStr">
        <is>
          <t>Floriani Mussolini</t>
        </is>
      </c>
      <c r="B184" s="51" t="inlineStr">
        <is>
          <t>D</t>
        </is>
      </c>
      <c r="C184" s="35" t="inlineStr">
        <is>
          <t>Dd;E</t>
        </is>
      </c>
      <c r="D184" s="35" t="inlineStr">
        <is>
          <t>Lazio</t>
        </is>
      </c>
      <c r="E184" s="50" t="n">
        <v>3</v>
      </c>
      <c r="F184" s="50" t="n">
        <v>12</v>
      </c>
    </row>
    <row r="185">
      <c r="A185" s="25" t="inlineStr">
        <is>
          <t>Hainaut</t>
        </is>
      </c>
      <c r="B185" s="51" t="inlineStr">
        <is>
          <t>D</t>
        </is>
      </c>
      <c r="C185" s="35" t="inlineStr">
        <is>
          <t>Dd;E</t>
        </is>
      </c>
      <c r="D185" s="35" t="inlineStr">
        <is>
          <t>Venezia</t>
        </is>
      </c>
      <c r="E185" s="50" t="n">
        <v>3</v>
      </c>
      <c r="F185" s="50" t="n">
        <v>7</v>
      </c>
    </row>
    <row r="186">
      <c r="A186" s="25" t="inlineStr">
        <is>
          <t>Idrissi R.</t>
        </is>
      </c>
      <c r="B186" s="51" t="inlineStr">
        <is>
          <t>D</t>
        </is>
      </c>
      <c r="C186" s="35" t="inlineStr">
        <is>
          <t>Ds;E</t>
        </is>
      </c>
      <c r="D186" s="35" t="inlineStr">
        <is>
          <t>Cagliari</t>
        </is>
      </c>
      <c r="E186" s="50" t="n">
        <v>3</v>
      </c>
      <c r="F186" s="50" t="n">
        <v>7</v>
      </c>
    </row>
    <row r="187">
      <c r="A187" s="25" t="inlineStr">
        <is>
          <t>Joao Mario</t>
        </is>
      </c>
      <c r="B187" s="51" t="inlineStr">
        <is>
          <t>D</t>
        </is>
      </c>
      <c r="C187" s="35" t="inlineStr">
        <is>
          <t>Dd;E</t>
        </is>
      </c>
      <c r="D187" s="35" t="inlineStr">
        <is>
          <t>Fiorentina</t>
        </is>
      </c>
      <c r="E187" s="50" t="n">
        <v>3</v>
      </c>
      <c r="F187" s="50" t="n">
        <v>7</v>
      </c>
    </row>
    <row r="188">
      <c r="A188" s="25" t="inlineStr">
        <is>
          <t>Kossounou</t>
        </is>
      </c>
      <c r="B188" s="51" t="inlineStr">
        <is>
          <t>D</t>
        </is>
      </c>
      <c r="C188" s="35" t="inlineStr">
        <is>
          <t>Dd;Dc</t>
        </is>
      </c>
      <c r="D188" s="35" t="inlineStr">
        <is>
          <t>Atalanta</t>
        </is>
      </c>
      <c r="E188" s="50" t="n">
        <v>3</v>
      </c>
      <c r="F188" s="50" t="n">
        <v>7</v>
      </c>
    </row>
    <row r="189">
      <c r="A189" s="25" t="inlineStr">
        <is>
          <t>Kouadio</t>
        </is>
      </c>
      <c r="B189" s="51" t="inlineStr">
        <is>
          <t>D</t>
        </is>
      </c>
      <c r="C189" s="35" t="inlineStr">
        <is>
          <t>Dd;Dc</t>
        </is>
      </c>
      <c r="D189" s="35" t="inlineStr">
        <is>
          <t>Monza</t>
        </is>
      </c>
      <c r="E189" s="50" t="n">
        <v>3</v>
      </c>
      <c r="F189" s="50" t="n">
        <v>9</v>
      </c>
    </row>
    <row r="190">
      <c r="A190" s="25" t="inlineStr">
        <is>
          <t>Provstgaard</t>
        </is>
      </c>
      <c r="B190" s="51" t="inlineStr">
        <is>
          <t>D</t>
        </is>
      </c>
      <c r="C190" s="35" t="inlineStr">
        <is>
          <t>Dc</t>
        </is>
      </c>
      <c r="D190" s="35" t="inlineStr">
        <is>
          <t>Lazio</t>
        </is>
      </c>
      <c r="E190" s="50" t="n">
        <v>3</v>
      </c>
      <c r="F190" s="50" t="n">
        <v>10</v>
      </c>
    </row>
    <row r="191">
      <c r="A191" s="25" t="inlineStr">
        <is>
          <t>Ranieri L.</t>
        </is>
      </c>
      <c r="B191" s="51" t="inlineStr">
        <is>
          <t>D</t>
        </is>
      </c>
      <c r="C191" s="35" t="inlineStr">
        <is>
          <t>Ds;Dc</t>
        </is>
      </c>
      <c r="D191" s="35" t="inlineStr">
        <is>
          <t>Fiorentina</t>
        </is>
      </c>
      <c r="E191" s="50" t="n">
        <v>3</v>
      </c>
      <c r="F191" s="50" t="n">
        <v>7</v>
      </c>
    </row>
    <row r="192">
      <c r="A192" s="25" t="inlineStr">
        <is>
          <t>Rodriguez Ju.</t>
        </is>
      </c>
      <c r="B192" s="51" t="inlineStr">
        <is>
          <t>D</t>
        </is>
      </c>
      <c r="C192" s="35" t="inlineStr">
        <is>
          <t>Ds;Dc</t>
        </is>
      </c>
      <c r="D192" s="35" t="inlineStr">
        <is>
          <t>Cagliari</t>
        </is>
      </c>
      <c r="E192" s="50" t="n">
        <v>3</v>
      </c>
      <c r="F192" s="50" t="n">
        <v>10</v>
      </c>
    </row>
    <row r="193">
      <c r="A193" s="25" t="inlineStr">
        <is>
          <t>Schingtienne</t>
        </is>
      </c>
      <c r="B193" s="51" t="inlineStr">
        <is>
          <t>D</t>
        </is>
      </c>
      <c r="C193" s="35" t="inlineStr">
        <is>
          <t>Dc</t>
        </is>
      </c>
      <c r="D193" s="35" t="inlineStr">
        <is>
          <t>Venezia</t>
        </is>
      </c>
      <c r="E193" s="50" t="n">
        <v>3</v>
      </c>
      <c r="F193" s="50" t="n">
        <v>7</v>
      </c>
    </row>
    <row r="194">
      <c r="A194" s="25" t="inlineStr">
        <is>
          <t>Sverko</t>
        </is>
      </c>
      <c r="B194" s="51" t="inlineStr">
        <is>
          <t>D</t>
        </is>
      </c>
      <c r="C194" s="35" t="inlineStr">
        <is>
          <t>Ds;Dc</t>
        </is>
      </c>
      <c r="D194" s="35" t="inlineStr">
        <is>
          <t>Venezia</t>
        </is>
      </c>
      <c r="E194" s="50" t="n">
        <v>3</v>
      </c>
      <c r="F194" s="50" t="n">
        <v>7</v>
      </c>
    </row>
    <row r="195">
      <c r="A195" s="25" t="inlineStr">
        <is>
          <t>Troilo</t>
        </is>
      </c>
      <c r="B195" s="51" t="inlineStr">
        <is>
          <t>D</t>
        </is>
      </c>
      <c r="C195" s="35" t="inlineStr">
        <is>
          <t>Dc</t>
        </is>
      </c>
      <c r="D195" s="35" t="inlineStr">
        <is>
          <t>Parma</t>
        </is>
      </c>
      <c r="E195" s="50" t="n">
        <v>3</v>
      </c>
      <c r="F195" s="50" t="n">
        <v>8</v>
      </c>
    </row>
    <row r="196">
      <c r="A196" s="25" t="inlineStr">
        <is>
          <t>Alhassane</t>
        </is>
      </c>
      <c r="B196" s="51" t="inlineStr">
        <is>
          <t>D</t>
        </is>
      </c>
      <c r="C196" s="35" t="inlineStr">
        <is>
          <t>Ds;E</t>
        </is>
      </c>
      <c r="D196" s="35" t="inlineStr">
        <is>
          <t>Bologna</t>
        </is>
      </c>
      <c r="E196" s="50" t="n">
        <v>2</v>
      </c>
      <c r="F196" s="50" t="n">
        <v>6</v>
      </c>
    </row>
    <row r="197">
      <c r="A197" s="25" t="inlineStr">
        <is>
          <t>Aurelio</t>
        </is>
      </c>
      <c r="B197" s="51" t="inlineStr">
        <is>
          <t>D</t>
        </is>
      </c>
      <c r="C197" s="35" t="inlineStr">
        <is>
          <t>Ds;E</t>
        </is>
      </c>
      <c r="D197" s="35" t="inlineStr">
        <is>
          <t>Cagliari</t>
        </is>
      </c>
      <c r="E197" s="50" t="n">
        <v>2</v>
      </c>
      <c r="F197" s="50" t="n">
        <v>5</v>
      </c>
    </row>
    <row r="198">
      <c r="A198" s="25" t="inlineStr">
        <is>
          <t>Biraghi</t>
        </is>
      </c>
      <c r="B198" s="51" t="inlineStr">
        <is>
          <t>D</t>
        </is>
      </c>
      <c r="C198" s="35" t="inlineStr">
        <is>
          <t>B;Ds;E</t>
        </is>
      </c>
      <c r="D198" s="35" t="inlineStr">
        <is>
          <t>Torino</t>
        </is>
      </c>
      <c r="E198" s="50" t="n">
        <v>2</v>
      </c>
      <c r="F198" s="50" t="n">
        <v>5</v>
      </c>
    </row>
    <row r="199">
      <c r="A199" s="25" t="inlineStr">
        <is>
          <t>Diawara S.</t>
        </is>
      </c>
      <c r="B199" s="51" t="inlineStr">
        <is>
          <t>D</t>
        </is>
      </c>
      <c r="C199" s="35" t="inlineStr">
        <is>
          <t>Ds;Dc</t>
        </is>
      </c>
      <c r="D199" s="35" t="inlineStr">
        <is>
          <t>Milan</t>
        </is>
      </c>
      <c r="E199" s="50" t="n">
        <v>2</v>
      </c>
      <c r="F199" s="50" t="n">
        <v>4</v>
      </c>
    </row>
    <row r="200">
      <c r="A200" s="25" t="inlineStr">
        <is>
          <t>Ebosse</t>
        </is>
      </c>
      <c r="B200" s="51" t="inlineStr">
        <is>
          <t>D</t>
        </is>
      </c>
      <c r="C200" s="35" t="inlineStr">
        <is>
          <t>Ds;Dc</t>
        </is>
      </c>
      <c r="D200" s="35" t="inlineStr">
        <is>
          <t>Udinese</t>
        </is>
      </c>
      <c r="E200" s="50" t="n">
        <v>2</v>
      </c>
      <c r="F200" s="50" t="n">
        <v>4</v>
      </c>
    </row>
    <row r="201">
      <c r="A201" s="25" t="inlineStr">
        <is>
          <t>Franjic</t>
        </is>
      </c>
      <c r="B201" s="51" t="inlineStr">
        <is>
          <t>D</t>
        </is>
      </c>
      <c r="C201" s="35" t="inlineStr">
        <is>
          <t>B;Ds;E</t>
        </is>
      </c>
      <c r="D201" s="35" t="inlineStr">
        <is>
          <t>Venezia</t>
        </is>
      </c>
      <c r="E201" s="50" t="n">
        <v>2</v>
      </c>
      <c r="F201" s="50" t="n">
        <v>4</v>
      </c>
    </row>
    <row r="202">
      <c r="A202" s="25" t="inlineStr">
        <is>
          <t>Helland</t>
        </is>
      </c>
      <c r="B202" s="51" t="inlineStr">
        <is>
          <t>D</t>
        </is>
      </c>
      <c r="C202" s="35" t="inlineStr">
        <is>
          <t>Dd;Dc</t>
        </is>
      </c>
      <c r="D202" s="35" t="inlineStr">
        <is>
          <t>Bologna</t>
        </is>
      </c>
      <c r="E202" s="50" t="n">
        <v>2</v>
      </c>
      <c r="F202" s="50" t="n">
        <v>5</v>
      </c>
    </row>
    <row r="203">
      <c r="A203" s="25" t="inlineStr">
        <is>
          <t>Jean</t>
        </is>
      </c>
      <c r="B203" s="51" t="inlineStr">
        <is>
          <t>D</t>
        </is>
      </c>
      <c r="C203" s="35" t="inlineStr">
        <is>
          <t>Dc</t>
        </is>
      </c>
      <c r="D203" s="35" t="inlineStr">
        <is>
          <t>Lecce</t>
        </is>
      </c>
      <c r="E203" s="50" t="n">
        <v>2</v>
      </c>
      <c r="F203" s="50" t="n">
        <v>4</v>
      </c>
    </row>
    <row r="204">
      <c r="A204" s="25" t="inlineStr">
        <is>
          <t>Lazzari</t>
        </is>
      </c>
      <c r="B204" s="51" t="inlineStr">
        <is>
          <t>D</t>
        </is>
      </c>
      <c r="C204" s="35" t="inlineStr">
        <is>
          <t>Dd;E</t>
        </is>
      </c>
      <c r="D204" s="35" t="inlineStr">
        <is>
          <t>Lazio</t>
        </is>
      </c>
      <c r="E204" s="50" t="n">
        <v>2</v>
      </c>
      <c r="F204" s="50" t="n">
        <v>8</v>
      </c>
    </row>
    <row r="205">
      <c r="A205" s="25" t="inlineStr">
        <is>
          <t>Marin R.</t>
        </is>
      </c>
      <c r="B205" s="51" t="inlineStr">
        <is>
          <t>D</t>
        </is>
      </c>
      <c r="C205" s="35" t="inlineStr">
        <is>
          <t>Dc</t>
        </is>
      </c>
      <c r="D205" s="35" t="inlineStr">
        <is>
          <t>Napoli</t>
        </is>
      </c>
      <c r="E205" s="50" t="n">
        <v>2</v>
      </c>
      <c r="F205" s="50" t="n">
        <v>6</v>
      </c>
    </row>
    <row r="206">
      <c r="A206" s="25" t="inlineStr">
        <is>
          <t>Otoa</t>
        </is>
      </c>
      <c r="B206" s="51" t="inlineStr">
        <is>
          <t>D</t>
        </is>
      </c>
      <c r="C206" s="35" t="inlineStr">
        <is>
          <t>Dc</t>
        </is>
      </c>
      <c r="D206" s="35" t="inlineStr">
        <is>
          <t>Genoa</t>
        </is>
      </c>
      <c r="E206" s="50" t="n">
        <v>2</v>
      </c>
      <c r="F206" s="50" t="n">
        <v>5</v>
      </c>
    </row>
    <row r="207">
      <c r="A207" s="25" t="inlineStr">
        <is>
          <t>Palma</t>
        </is>
      </c>
      <c r="B207" s="51" t="inlineStr">
        <is>
          <t>D</t>
        </is>
      </c>
      <c r="C207" s="35" t="inlineStr">
        <is>
          <t>Dc</t>
        </is>
      </c>
      <c r="D207" s="35" t="inlineStr">
        <is>
          <t>Udinese</t>
        </is>
      </c>
      <c r="E207" s="50" t="n">
        <v>2</v>
      </c>
      <c r="F207" s="50" t="n">
        <v>5</v>
      </c>
    </row>
    <row r="208">
      <c r="A208" s="25" t="inlineStr">
        <is>
          <t>Pellegrini Lu.</t>
        </is>
      </c>
      <c r="B208" s="51" t="inlineStr">
        <is>
          <t>D</t>
        </is>
      </c>
      <c r="C208" s="35" t="inlineStr">
        <is>
          <t>Ds;E</t>
        </is>
      </c>
      <c r="D208" s="35" t="inlineStr">
        <is>
          <t>Lazio</t>
        </is>
      </c>
      <c r="E208" s="50" t="n">
        <v>2</v>
      </c>
      <c r="F208" s="50" t="n">
        <v>5</v>
      </c>
    </row>
    <row r="209">
      <c r="A209" s="25" t="inlineStr">
        <is>
          <t>Puczka</t>
        </is>
      </c>
      <c r="B209" s="51" t="inlineStr">
        <is>
          <t>D</t>
        </is>
      </c>
      <c r="C209" s="35" t="inlineStr">
        <is>
          <t>Ds;E</t>
        </is>
      </c>
      <c r="D209" s="35" t="inlineStr">
        <is>
          <t>Genoa</t>
        </is>
      </c>
      <c r="E209" s="50" t="n">
        <v>2</v>
      </c>
      <c r="F209" s="50" t="n">
        <v>7</v>
      </c>
    </row>
    <row r="210">
      <c r="A210" s="25" t="inlineStr">
        <is>
          <t>Sabelli</t>
        </is>
      </c>
      <c r="B210" s="51" t="inlineStr">
        <is>
          <t>D</t>
        </is>
      </c>
      <c r="C210" s="35" t="inlineStr">
        <is>
          <t>Dd;Ds;E</t>
        </is>
      </c>
      <c r="D210" s="35" t="inlineStr">
        <is>
          <t>Genoa</t>
        </is>
      </c>
      <c r="E210" s="50" t="n">
        <v>2</v>
      </c>
      <c r="F210" s="50" t="n">
        <v>5</v>
      </c>
    </row>
    <row r="211">
      <c r="A211" s="25" t="inlineStr">
        <is>
          <t>Sagrado</t>
        </is>
      </c>
      <c r="B211" s="51" t="inlineStr">
        <is>
          <t>D</t>
        </is>
      </c>
      <c r="C211" s="35" t="inlineStr">
        <is>
          <t>Dd;E</t>
        </is>
      </c>
      <c r="D211" s="35" t="inlineStr">
        <is>
          <t>Venezia</t>
        </is>
      </c>
      <c r="E211" s="50" t="n">
        <v>2</v>
      </c>
      <c r="F211" s="50" t="n">
        <v>4</v>
      </c>
    </row>
    <row r="212">
      <c r="A212" s="25" t="inlineStr">
        <is>
          <t>Van Der Brempt</t>
        </is>
      </c>
      <c r="B212" s="51" t="inlineStr">
        <is>
          <t>D</t>
        </is>
      </c>
      <c r="C212" s="35" t="inlineStr">
        <is>
          <t>Dd;E</t>
        </is>
      </c>
      <c r="D212" s="35" t="inlineStr">
        <is>
          <t>Como</t>
        </is>
      </c>
      <c r="E212" s="50" t="n">
        <v>2</v>
      </c>
      <c r="F212" s="50" t="n">
        <v>5</v>
      </c>
    </row>
    <row r="213">
      <c r="A213" s="25" t="inlineStr">
        <is>
          <t>Abankwah</t>
        </is>
      </c>
      <c r="B213" s="51" t="inlineStr">
        <is>
          <t>D</t>
        </is>
      </c>
      <c r="C213" s="35" t="inlineStr">
        <is>
          <t>Dd;Dc</t>
        </is>
      </c>
      <c r="D213" s="35" t="inlineStr">
        <is>
          <t>Udinese</t>
        </is>
      </c>
      <c r="E213" s="50" t="n">
        <v>1</v>
      </c>
      <c r="F213" s="50" t="n">
        <v>3</v>
      </c>
    </row>
    <row r="214">
      <c r="A214" s="25" t="inlineStr">
        <is>
          <t>Amey</t>
        </is>
      </c>
      <c r="B214" s="51" t="inlineStr">
        <is>
          <t>D</t>
        </is>
      </c>
      <c r="C214" s="35" t="inlineStr">
        <is>
          <t>Dc</t>
        </is>
      </c>
      <c r="D214" s="35" t="inlineStr">
        <is>
          <t>Frosinone</t>
        </is>
      </c>
      <c r="E214" s="50" t="n">
        <v>1</v>
      </c>
      <c r="F214" s="50" t="n">
        <v>1</v>
      </c>
    </row>
    <row r="215">
      <c r="A215" s="25" t="inlineStr">
        <is>
          <t>Antov</t>
        </is>
      </c>
      <c r="B215" s="51" t="inlineStr">
        <is>
          <t>D</t>
        </is>
      </c>
      <c r="C215" s="35" t="inlineStr">
        <is>
          <t>Dc</t>
        </is>
      </c>
      <c r="D215" s="35" t="inlineStr">
        <is>
          <t>Monza</t>
        </is>
      </c>
      <c r="E215" s="50" t="n">
        <v>1</v>
      </c>
      <c r="F215" s="50" t="n">
        <v>2</v>
      </c>
    </row>
    <row r="216">
      <c r="A216" s="25" t="inlineStr">
        <is>
          <t>Bakoune</t>
        </is>
      </c>
      <c r="B216" s="51" t="inlineStr">
        <is>
          <t>D</t>
        </is>
      </c>
      <c r="C216" s="35" t="inlineStr">
        <is>
          <t>Dd;E</t>
        </is>
      </c>
      <c r="D216" s="35" t="inlineStr">
        <is>
          <t>Monza</t>
        </is>
      </c>
      <c r="E216" s="50" t="n">
        <v>1</v>
      </c>
      <c r="F216" s="50" t="n">
        <v>4</v>
      </c>
    </row>
    <row r="217">
      <c r="A217" s="25" t="inlineStr">
        <is>
          <t>Cabal</t>
        </is>
      </c>
      <c r="B217" s="51" t="inlineStr">
        <is>
          <t>D</t>
        </is>
      </c>
      <c r="C217" s="35" t="inlineStr">
        <is>
          <t>B;Ds;E</t>
        </is>
      </c>
      <c r="D217" s="35" t="inlineStr">
        <is>
          <t>Juventus</t>
        </is>
      </c>
      <c r="E217" s="50" t="n">
        <v>1</v>
      </c>
      <c r="F217" s="50" t="n">
        <v>4</v>
      </c>
    </row>
    <row r="218">
      <c r="A218" s="25" t="inlineStr">
        <is>
          <t>Carboni F.</t>
        </is>
      </c>
      <c r="B218" s="51" t="inlineStr">
        <is>
          <t>D</t>
        </is>
      </c>
      <c r="C218" s="35" t="inlineStr">
        <is>
          <t>Ds;E</t>
        </is>
      </c>
      <c r="D218" s="35" t="inlineStr">
        <is>
          <t>Parma</t>
        </is>
      </c>
      <c r="E218" s="50" t="n">
        <v>1</v>
      </c>
      <c r="F218" s="50" t="n">
        <v>3</v>
      </c>
    </row>
    <row r="219">
      <c r="A219" s="25" t="inlineStr">
        <is>
          <t>Corrado</t>
        </is>
      </c>
      <c r="B219" s="51" t="inlineStr">
        <is>
          <t>D</t>
        </is>
      </c>
      <c r="C219" s="35" t="inlineStr">
        <is>
          <t>Ds;E</t>
        </is>
      </c>
      <c r="D219" s="35" t="inlineStr">
        <is>
          <t>Frosinone</t>
        </is>
      </c>
      <c r="E219" s="50" t="n">
        <v>1</v>
      </c>
      <c r="F219" s="50" t="n">
        <v>3</v>
      </c>
    </row>
    <row r="220">
      <c r="A220" s="25" t="inlineStr">
        <is>
          <t>Cuenca A.</t>
        </is>
      </c>
      <c r="B220" s="51" t="inlineStr">
        <is>
          <t>D</t>
        </is>
      </c>
      <c r="C220" s="35" t="inlineStr">
        <is>
          <t>Ds;Dc</t>
        </is>
      </c>
      <c r="D220" s="35" t="inlineStr">
        <is>
          <t>Como</t>
        </is>
      </c>
      <c r="E220" s="50" t="n">
        <v>1</v>
      </c>
      <c r="F220" s="50" t="n">
        <v>8</v>
      </c>
    </row>
    <row r="221">
      <c r="A221" s="25" t="inlineStr">
        <is>
          <t>De Silvestri</t>
        </is>
      </c>
      <c r="B221" s="51" t="inlineStr">
        <is>
          <t>D</t>
        </is>
      </c>
      <c r="C221" s="35" t="inlineStr">
        <is>
          <t>Dd;E</t>
        </is>
      </c>
      <c r="D221" s="35" t="inlineStr">
        <is>
          <t>Bologna</t>
        </is>
      </c>
      <c r="E221" s="50" t="n">
        <v>1</v>
      </c>
      <c r="F221" s="50" t="n">
        <v>4</v>
      </c>
    </row>
    <row r="222">
      <c r="A222" s="25" t="inlineStr">
        <is>
          <t>Gelli J.</t>
        </is>
      </c>
      <c r="B222" s="51" t="inlineStr">
        <is>
          <t>D</t>
        </is>
      </c>
      <c r="C222" s="35" t="inlineStr">
        <is>
          <t>Dc</t>
        </is>
      </c>
      <c r="D222" s="35" t="inlineStr">
        <is>
          <t>Frosinone</t>
        </is>
      </c>
      <c r="E222" s="50" t="n">
        <v>1</v>
      </c>
      <c r="F222" s="50" t="n">
        <v>1</v>
      </c>
    </row>
    <row r="223">
      <c r="A223" s="25" t="inlineStr">
        <is>
          <t>Goldaniga</t>
        </is>
      </c>
      <c r="B223" s="51" t="inlineStr">
        <is>
          <t>D</t>
        </is>
      </c>
      <c r="C223" s="35" t="inlineStr">
        <is>
          <t>Dc</t>
        </is>
      </c>
      <c r="D223" s="35" t="inlineStr">
        <is>
          <t>Como</t>
        </is>
      </c>
      <c r="E223" s="50" t="n">
        <v>1</v>
      </c>
      <c r="F223" s="50" t="n">
        <v>1</v>
      </c>
    </row>
    <row r="224">
      <c r="A224" s="25" t="inlineStr">
        <is>
          <t>Gomes</t>
        </is>
      </c>
      <c r="B224" s="51" t="inlineStr">
        <is>
          <t>D</t>
        </is>
      </c>
      <c r="C224" s="35" t="inlineStr">
        <is>
          <t>Ds;Dc</t>
        </is>
      </c>
      <c r="D224" s="35" t="inlineStr">
        <is>
          <t>Venezia</t>
        </is>
      </c>
      <c r="E224" s="50" t="n">
        <v>1</v>
      </c>
      <c r="F224" s="50" t="n">
        <v>1</v>
      </c>
    </row>
    <row r="225">
      <c r="A225" s="25" t="inlineStr">
        <is>
          <t>Marianucci</t>
        </is>
      </c>
      <c r="B225" s="51" t="inlineStr">
        <is>
          <t>D</t>
        </is>
      </c>
      <c r="C225" s="35" t="inlineStr">
        <is>
          <t>Dc</t>
        </is>
      </c>
      <c r="D225" s="35" t="inlineStr">
        <is>
          <t>Napoli</t>
        </is>
      </c>
      <c r="E225" s="50" t="n">
        <v>1</v>
      </c>
      <c r="F225" s="50" t="n">
        <v>5</v>
      </c>
    </row>
    <row r="226">
      <c r="A226" s="25" t="inlineStr">
        <is>
          <t>Matturro</t>
        </is>
      </c>
      <c r="B226" s="51" t="inlineStr">
        <is>
          <t>D</t>
        </is>
      </c>
      <c r="C226" s="35" t="inlineStr">
        <is>
          <t>Ds;Dc</t>
        </is>
      </c>
      <c r="D226" s="35" t="inlineStr">
        <is>
          <t>Genoa</t>
        </is>
      </c>
      <c r="E226" s="50" t="n">
        <v>1</v>
      </c>
      <c r="F226" s="50" t="n">
        <v>2</v>
      </c>
    </row>
    <row r="227">
      <c r="A227" s="25" t="inlineStr">
        <is>
          <t>Mazzocchi</t>
        </is>
      </c>
      <c r="B227" s="51" t="inlineStr">
        <is>
          <t>D</t>
        </is>
      </c>
      <c r="C227" s="35" t="inlineStr">
        <is>
          <t>Dd;Ds;E</t>
        </is>
      </c>
      <c r="D227" s="35" t="inlineStr">
        <is>
          <t>Napoli</t>
        </is>
      </c>
      <c r="E227" s="50" t="n">
        <v>1</v>
      </c>
      <c r="F227" s="50" t="n">
        <v>3</v>
      </c>
    </row>
    <row r="228">
      <c r="A228" s="25" t="inlineStr">
        <is>
          <t>Missori</t>
        </is>
      </c>
      <c r="B228" s="51" t="inlineStr">
        <is>
          <t>D</t>
        </is>
      </c>
      <c r="C228" s="35" t="inlineStr">
        <is>
          <t>Dd;E</t>
        </is>
      </c>
      <c r="D228" s="35" t="inlineStr">
        <is>
          <t>Sassuolo</t>
        </is>
      </c>
      <c r="E228" s="50" t="n">
        <v>1</v>
      </c>
      <c r="F228" s="50" t="n">
        <v>2</v>
      </c>
    </row>
    <row r="229">
      <c r="A229" s="25" t="inlineStr">
        <is>
          <t>Mlacic</t>
        </is>
      </c>
      <c r="B229" s="51" t="inlineStr">
        <is>
          <t>D</t>
        </is>
      </c>
      <c r="C229" s="35" t="inlineStr">
        <is>
          <t>Dc</t>
        </is>
      </c>
      <c r="D229" s="35" t="inlineStr">
        <is>
          <t>Udinese</t>
        </is>
      </c>
      <c r="E229" s="50" t="n">
        <v>1</v>
      </c>
      <c r="F229" s="50" t="n">
        <v>3</v>
      </c>
    </row>
    <row r="230">
      <c r="A230" s="25" t="inlineStr">
        <is>
          <t>Ndaba</t>
        </is>
      </c>
      <c r="B230" s="51" t="inlineStr">
        <is>
          <t>D</t>
        </is>
      </c>
      <c r="C230" s="35" t="inlineStr">
        <is>
          <t>Ds;E</t>
        </is>
      </c>
      <c r="D230" s="35" t="inlineStr">
        <is>
          <t>Lecce</t>
        </is>
      </c>
      <c r="E230" s="50" t="n">
        <v>1</v>
      </c>
      <c r="F230" s="50" t="n">
        <v>4</v>
      </c>
    </row>
    <row r="231">
      <c r="A231" s="25" t="inlineStr">
        <is>
          <t>Ndiaye</t>
        </is>
      </c>
      <c r="B231" s="51" t="inlineStr">
        <is>
          <t>D</t>
        </is>
      </c>
      <c r="C231" s="35" t="inlineStr">
        <is>
          <t>Dc</t>
        </is>
      </c>
      <c r="D231" s="35" t="inlineStr">
        <is>
          <t>Parma</t>
        </is>
      </c>
      <c r="E231" s="50" t="n">
        <v>1</v>
      </c>
      <c r="F231" s="50" t="n">
        <v>4</v>
      </c>
    </row>
    <row r="232">
      <c r="A232" s="25" t="inlineStr">
        <is>
          <t>Oyono J.</t>
        </is>
      </c>
      <c r="B232" s="51" t="inlineStr">
        <is>
          <t>D</t>
        </is>
      </c>
      <c r="C232" s="35" t="inlineStr">
        <is>
          <t>Dd;E</t>
        </is>
      </c>
      <c r="D232" s="35" t="inlineStr">
        <is>
          <t>Frosinone</t>
        </is>
      </c>
      <c r="E232" s="50" t="n">
        <v>1</v>
      </c>
      <c r="F232" s="50" t="n">
        <v>3</v>
      </c>
    </row>
    <row r="233">
      <c r="A233" s="25" t="inlineStr">
        <is>
          <t>Patric</t>
        </is>
      </c>
      <c r="B233" s="51" t="inlineStr">
        <is>
          <t>D</t>
        </is>
      </c>
      <c r="C233" s="35" t="inlineStr">
        <is>
          <t>Dd;Dc</t>
        </is>
      </c>
      <c r="D233" s="35" t="inlineStr">
        <is>
          <t>Lazio</t>
        </is>
      </c>
      <c r="E233" s="50" t="n">
        <v>1</v>
      </c>
      <c r="F233" s="50" t="n">
        <v>4</v>
      </c>
    </row>
    <row r="234">
      <c r="A234" s="25" t="inlineStr">
        <is>
          <t>Perez M.</t>
        </is>
      </c>
      <c r="B234" s="51" t="inlineStr">
        <is>
          <t>D</t>
        </is>
      </c>
      <c r="C234" s="35" t="inlineStr">
        <is>
          <t>Dd;Dc</t>
        </is>
      </c>
      <c r="D234" s="35" t="inlineStr">
        <is>
          <t>Lecce</t>
        </is>
      </c>
      <c r="E234" s="50" t="n">
        <v>1</v>
      </c>
      <c r="F234" s="50" t="n">
        <v>1</v>
      </c>
    </row>
    <row r="235">
      <c r="A235" s="25" t="inlineStr">
        <is>
          <t>Pieragnolo</t>
        </is>
      </c>
      <c r="B235" s="51" t="inlineStr">
        <is>
          <t>D</t>
        </is>
      </c>
      <c r="C235" s="35" t="inlineStr">
        <is>
          <t>Ds;E</t>
        </is>
      </c>
      <c r="D235" s="35" t="inlineStr">
        <is>
          <t>Sassuolo</t>
        </is>
      </c>
      <c r="E235" s="50" t="n">
        <v>1</v>
      </c>
      <c r="F235" s="50" t="n">
        <v>1</v>
      </c>
    </row>
    <row r="236">
      <c r="A236" s="25" t="inlineStr">
        <is>
          <t>Raterink</t>
        </is>
      </c>
      <c r="B236" s="51" t="inlineStr">
        <is>
          <t>D</t>
        </is>
      </c>
      <c r="C236" s="35" t="inlineStr">
        <is>
          <t>Dd;E</t>
        </is>
      </c>
      <c r="D236" s="35" t="inlineStr">
        <is>
          <t>Cagliari</t>
        </is>
      </c>
      <c r="E236" s="50" t="n">
        <v>1</v>
      </c>
      <c r="F236" s="50" t="n">
        <v>1</v>
      </c>
    </row>
    <row r="237">
      <c r="A237" s="25" t="inlineStr">
        <is>
          <t>Rugani</t>
        </is>
      </c>
      <c r="B237" s="51" t="inlineStr">
        <is>
          <t>D</t>
        </is>
      </c>
      <c r="C237" s="35" t="inlineStr">
        <is>
          <t>Dc</t>
        </is>
      </c>
      <c r="D237" s="35" t="inlineStr">
        <is>
          <t>Juventus</t>
        </is>
      </c>
      <c r="E237" s="50" t="n">
        <v>1</v>
      </c>
      <c r="F237" s="50" t="n">
        <v>3</v>
      </c>
    </row>
    <row r="238">
      <c r="A238" s="25" t="inlineStr">
        <is>
          <t>Ziolkowski</t>
        </is>
      </c>
      <c r="B238" s="51" t="inlineStr">
        <is>
          <t>D</t>
        </is>
      </c>
      <c r="C238" s="35" t="inlineStr">
        <is>
          <t>Dc</t>
        </is>
      </c>
      <c r="D238" s="35" t="inlineStr">
        <is>
          <t>Roma</t>
        </is>
      </c>
      <c r="E238" s="50" t="n">
        <v>1</v>
      </c>
      <c r="F238" s="50" t="n">
        <v>2</v>
      </c>
    </row>
    <row r="239">
      <c r="A239" s="25" t="inlineStr">
        <is>
          <t>Paz N.</t>
        </is>
      </c>
      <c r="B239" s="52" t="inlineStr">
        <is>
          <t>C</t>
        </is>
      </c>
      <c r="C239" s="35" t="inlineStr">
        <is>
          <t>T;A</t>
        </is>
      </c>
      <c r="D239" s="35" t="inlineStr">
        <is>
          <t>Como</t>
        </is>
      </c>
      <c r="E239" s="50" t="n">
        <v>30</v>
      </c>
      <c r="F239" s="50" t="n">
        <v>250</v>
      </c>
    </row>
    <row r="240">
      <c r="A240" s="25" t="inlineStr">
        <is>
          <t>McTominay</t>
        </is>
      </c>
      <c r="B240" s="52" t="inlineStr">
        <is>
          <t>C</t>
        </is>
      </c>
      <c r="C240" s="35" t="inlineStr">
        <is>
          <t>C;T</t>
        </is>
      </c>
      <c r="D240" s="35" t="inlineStr">
        <is>
          <t>Napoli</t>
        </is>
      </c>
      <c r="E240" s="50" t="n">
        <v>28</v>
      </c>
      <c r="F240" s="50" t="n">
        <v>240</v>
      </c>
    </row>
    <row r="241">
      <c r="A241" s="25" t="inlineStr">
        <is>
          <t>Calhanoglu</t>
        </is>
      </c>
      <c r="B241" s="52" t="inlineStr">
        <is>
          <t>C</t>
        </is>
      </c>
      <c r="C241" s="35" t="inlineStr">
        <is>
          <t>M;C</t>
        </is>
      </c>
      <c r="D241" s="35" t="inlineStr">
        <is>
          <t>Inter</t>
        </is>
      </c>
      <c r="E241" s="50" t="n">
        <v>27</v>
      </c>
      <c r="F241" s="50" t="n">
        <v>230</v>
      </c>
    </row>
    <row r="242">
      <c r="A242" s="25" t="inlineStr">
        <is>
          <t>Orsolini</t>
        </is>
      </c>
      <c r="B242" s="52" t="inlineStr">
        <is>
          <t>C</t>
        </is>
      </c>
      <c r="C242" s="35" t="inlineStr">
        <is>
          <t>W;A</t>
        </is>
      </c>
      <c r="D242" s="35" t="inlineStr">
        <is>
          <t>Bologna</t>
        </is>
      </c>
      <c r="E242" s="50" t="n">
        <v>26</v>
      </c>
      <c r="F242" s="50" t="n">
        <v>200</v>
      </c>
    </row>
    <row r="243">
      <c r="A243" s="25" t="inlineStr">
        <is>
          <t>Pulisic</t>
        </is>
      </c>
      <c r="B243" s="52" t="inlineStr">
        <is>
          <t>C</t>
        </is>
      </c>
      <c r="C243" s="35" t="inlineStr">
        <is>
          <t>T;A</t>
        </is>
      </c>
      <c r="D243" s="35" t="inlineStr">
        <is>
          <t>Milan</t>
        </is>
      </c>
      <c r="E243" s="50" t="n">
        <v>25</v>
      </c>
      <c r="F243" s="50" t="n">
        <v>180</v>
      </c>
    </row>
    <row r="244">
      <c r="A244" s="25" t="inlineStr">
        <is>
          <t>Rabiot</t>
        </is>
      </c>
      <c r="B244" s="52" t="inlineStr">
        <is>
          <t>C</t>
        </is>
      </c>
      <c r="C244" s="35" t="inlineStr">
        <is>
          <t>C;T</t>
        </is>
      </c>
      <c r="D244" s="35" t="inlineStr">
        <is>
          <t>Milan</t>
        </is>
      </c>
      <c r="E244" s="50" t="n">
        <v>22</v>
      </c>
      <c r="F244" s="50" t="n">
        <v>128</v>
      </c>
    </row>
    <row r="245">
      <c r="A245" s="25" t="inlineStr">
        <is>
          <t>Baturina</t>
        </is>
      </c>
      <c r="B245" s="52" t="inlineStr">
        <is>
          <t>C</t>
        </is>
      </c>
      <c r="C245" s="35" t="inlineStr">
        <is>
          <t>T</t>
        </is>
      </c>
      <c r="D245" s="35" t="inlineStr">
        <is>
          <t>Como</t>
        </is>
      </c>
      <c r="E245" s="50" t="n">
        <v>19</v>
      </c>
      <c r="F245" s="50" t="n">
        <v>102</v>
      </c>
    </row>
    <row r="246">
      <c r="A246" s="25" t="inlineStr">
        <is>
          <t>Da Cunha</t>
        </is>
      </c>
      <c r="B246" s="52" t="inlineStr">
        <is>
          <t>C</t>
        </is>
      </c>
      <c r="C246" s="35" t="inlineStr">
        <is>
          <t>C;T</t>
        </is>
      </c>
      <c r="D246" s="35" t="inlineStr">
        <is>
          <t>Como</t>
        </is>
      </c>
      <c r="E246" s="50" t="n">
        <v>18</v>
      </c>
      <c r="F246" s="50" t="n">
        <v>90</v>
      </c>
    </row>
    <row r="247">
      <c r="A247" s="25" t="inlineStr">
        <is>
          <t>Zaniolo</t>
        </is>
      </c>
      <c r="B247" s="52" t="inlineStr">
        <is>
          <t>C</t>
        </is>
      </c>
      <c r="C247" s="35" t="inlineStr">
        <is>
          <t>T;A</t>
        </is>
      </c>
      <c r="D247" s="35" t="inlineStr">
        <is>
          <t>Udinese</t>
        </is>
      </c>
      <c r="E247" s="50" t="n">
        <v>18</v>
      </c>
      <c r="F247" s="50" t="n">
        <v>100</v>
      </c>
    </row>
    <row r="248">
      <c r="A248" s="25" t="inlineStr">
        <is>
          <t>Atta</t>
        </is>
      </c>
      <c r="B248" s="52" t="inlineStr">
        <is>
          <t>C</t>
        </is>
      </c>
      <c r="C248" s="35" t="inlineStr">
        <is>
          <t>C;T</t>
        </is>
      </c>
      <c r="D248" s="35" t="inlineStr">
        <is>
          <t>Fiorentina</t>
        </is>
      </c>
      <c r="E248" s="50" t="n">
        <v>17</v>
      </c>
      <c r="F248" s="50" t="n">
        <v>87</v>
      </c>
    </row>
    <row r="249">
      <c r="A249" s="25" t="inlineStr">
        <is>
          <t>Barella</t>
        </is>
      </c>
      <c r="B249" s="52" t="inlineStr">
        <is>
          <t>C</t>
        </is>
      </c>
      <c r="C249" s="35" t="inlineStr">
        <is>
          <t>C</t>
        </is>
      </c>
      <c r="D249" s="35" t="inlineStr">
        <is>
          <t>Inter</t>
        </is>
      </c>
      <c r="E249" s="50" t="n">
        <v>17</v>
      </c>
      <c r="F249" s="50" t="n">
        <v>80</v>
      </c>
    </row>
    <row r="250">
      <c r="A250" s="25" t="inlineStr">
        <is>
          <t>McKennie</t>
        </is>
      </c>
      <c r="B250" s="52" t="inlineStr">
        <is>
          <t>C</t>
        </is>
      </c>
      <c r="C250" s="35" t="inlineStr">
        <is>
          <t>C</t>
        </is>
      </c>
      <c r="D250" s="35" t="inlineStr">
        <is>
          <t>Juventus</t>
        </is>
      </c>
      <c r="E250" s="50" t="n">
        <v>17</v>
      </c>
      <c r="F250" s="50" t="n">
        <v>68</v>
      </c>
    </row>
    <row r="251">
      <c r="A251" s="25" t="inlineStr">
        <is>
          <t>Zaccagni</t>
        </is>
      </c>
      <c r="B251" s="52" t="inlineStr">
        <is>
          <t>C</t>
        </is>
      </c>
      <c r="C251" s="35" t="inlineStr">
        <is>
          <t>W;A</t>
        </is>
      </c>
      <c r="D251" s="35" t="inlineStr">
        <is>
          <t>Lazio</t>
        </is>
      </c>
      <c r="E251" s="50" t="n">
        <v>16</v>
      </c>
      <c r="F251" s="50" t="n">
        <v>91</v>
      </c>
    </row>
    <row r="252">
      <c r="A252" s="25" t="inlineStr">
        <is>
          <t>De Bruyne</t>
        </is>
      </c>
      <c r="B252" s="52" t="inlineStr">
        <is>
          <t>C</t>
        </is>
      </c>
      <c r="C252" s="35" t="inlineStr">
        <is>
          <t>T</t>
        </is>
      </c>
      <c r="D252" s="35" t="inlineStr">
        <is>
          <t>Napoli</t>
        </is>
      </c>
      <c r="E252" s="50" t="n">
        <v>15</v>
      </c>
      <c r="F252" s="50" t="n">
        <v>98</v>
      </c>
    </row>
    <row r="253">
      <c r="A253" s="25" t="inlineStr">
        <is>
          <t>Vlasic</t>
        </is>
      </c>
      <c r="B253" s="52" t="inlineStr">
        <is>
          <t>C</t>
        </is>
      </c>
      <c r="C253" s="35" t="inlineStr">
        <is>
          <t>T</t>
        </is>
      </c>
      <c r="D253" s="35" t="inlineStr">
        <is>
          <t>Torino</t>
        </is>
      </c>
      <c r="E253" s="50" t="n">
        <v>14</v>
      </c>
      <c r="F253" s="50" t="n">
        <v>80</v>
      </c>
    </row>
    <row r="254">
      <c r="A254" s="25" t="inlineStr">
        <is>
          <t>Gudmundsson A.</t>
        </is>
      </c>
      <c r="B254" s="52" t="inlineStr">
        <is>
          <t>C</t>
        </is>
      </c>
      <c r="C254" s="35" t="inlineStr">
        <is>
          <t>T;A</t>
        </is>
      </c>
      <c r="D254" s="35" t="inlineStr">
        <is>
          <t>Fiorentina</t>
        </is>
      </c>
      <c r="E254" s="50" t="n">
        <v>13</v>
      </c>
      <c r="F254" s="50" t="n">
        <v>61</v>
      </c>
    </row>
    <row r="255">
      <c r="A255" s="25" t="inlineStr">
        <is>
          <t>Taylor K.</t>
        </is>
      </c>
      <c r="B255" s="52" t="inlineStr">
        <is>
          <t>C</t>
        </is>
      </c>
      <c r="C255" s="35" t="inlineStr">
        <is>
          <t>C;T</t>
        </is>
      </c>
      <c r="D255" s="35" t="inlineStr">
        <is>
          <t>Lazio</t>
        </is>
      </c>
      <c r="E255" s="50" t="n">
        <v>13</v>
      </c>
      <c r="F255" s="50" t="n">
        <v>64</v>
      </c>
    </row>
    <row r="256">
      <c r="A256" s="25" t="inlineStr">
        <is>
          <t>Alajbegovic</t>
        </is>
      </c>
      <c r="B256" s="52" t="inlineStr">
        <is>
          <t>C</t>
        </is>
      </c>
      <c r="C256" s="35" t="inlineStr">
        <is>
          <t>W;T</t>
        </is>
      </c>
      <c r="D256" s="35" t="inlineStr">
        <is>
          <t>Juventus</t>
        </is>
      </c>
      <c r="E256" s="50" t="n">
        <v>12</v>
      </c>
      <c r="F256" s="50" t="n">
        <v>56</v>
      </c>
    </row>
    <row r="257">
      <c r="A257" s="25" t="inlineStr">
        <is>
          <t>Conceicao</t>
        </is>
      </c>
      <c r="B257" s="52" t="inlineStr">
        <is>
          <t>C</t>
        </is>
      </c>
      <c r="C257" s="35" t="inlineStr">
        <is>
          <t>W;A</t>
        </is>
      </c>
      <c r="D257" s="35" t="inlineStr">
        <is>
          <t>Juventus</t>
        </is>
      </c>
      <c r="E257" s="50" t="n">
        <v>12</v>
      </c>
      <c r="F257" s="50" t="n">
        <v>60</v>
      </c>
    </row>
    <row r="258">
      <c r="A258" s="25" t="inlineStr">
        <is>
          <t>Ederson D.S.</t>
        </is>
      </c>
      <c r="B258" s="52" t="inlineStr">
        <is>
          <t>C</t>
        </is>
      </c>
      <c r="C258" s="35" t="inlineStr">
        <is>
          <t>M;C</t>
        </is>
      </c>
      <c r="D258" s="35" t="inlineStr">
        <is>
          <t>Atalanta</t>
        </is>
      </c>
      <c r="E258" s="50" t="n">
        <v>12</v>
      </c>
      <c r="F258" s="50" t="n">
        <v>45</v>
      </c>
    </row>
    <row r="259">
      <c r="A259" s="25" t="inlineStr">
        <is>
          <t>Mastantuono</t>
        </is>
      </c>
      <c r="B259" s="52" t="inlineStr">
        <is>
          <t>C</t>
        </is>
      </c>
      <c r="C259" s="35" t="inlineStr">
        <is>
          <t>W;T</t>
        </is>
      </c>
      <c r="D259" s="35" t="inlineStr">
        <is>
          <t>Fiorentina</t>
        </is>
      </c>
      <c r="E259" s="50" t="n">
        <v>12</v>
      </c>
      <c r="F259" s="50" t="n">
        <v>58</v>
      </c>
    </row>
    <row r="260">
      <c r="A260" s="25" t="inlineStr">
        <is>
          <t>Modric</t>
        </is>
      </c>
      <c r="B260" s="52" t="inlineStr">
        <is>
          <t>C</t>
        </is>
      </c>
      <c r="C260" s="35" t="inlineStr">
        <is>
          <t>M;C</t>
        </is>
      </c>
      <c r="D260" s="35" t="inlineStr">
        <is>
          <t>Milan</t>
        </is>
      </c>
      <c r="E260" s="50" t="n">
        <v>12</v>
      </c>
      <c r="F260" s="50" t="n">
        <v>50</v>
      </c>
    </row>
    <row r="261">
      <c r="A261" s="25" t="inlineStr">
        <is>
          <t>Rodriguez Je.</t>
        </is>
      </c>
      <c r="B261" s="52" t="inlineStr">
        <is>
          <t>C</t>
        </is>
      </c>
      <c r="C261" s="35" t="inlineStr">
        <is>
          <t>W;A</t>
        </is>
      </c>
      <c r="D261" s="35" t="inlineStr">
        <is>
          <t>Como</t>
        </is>
      </c>
      <c r="E261" s="50" t="n">
        <v>12</v>
      </c>
      <c r="F261" s="50" t="n">
        <v>32</v>
      </c>
    </row>
    <row r="262">
      <c r="A262" s="25" t="inlineStr">
        <is>
          <t>Samardzic</t>
        </is>
      </c>
      <c r="B262" s="52" t="inlineStr">
        <is>
          <t>C</t>
        </is>
      </c>
      <c r="C262" s="35" t="inlineStr">
        <is>
          <t>C;T</t>
        </is>
      </c>
      <c r="D262" s="35" t="inlineStr">
        <is>
          <t>Atalanta</t>
        </is>
      </c>
      <c r="E262" s="50" t="n">
        <v>12</v>
      </c>
      <c r="F262" s="50" t="n">
        <v>42</v>
      </c>
    </row>
    <row r="263">
      <c r="A263" s="25" t="inlineStr">
        <is>
          <t>Baldanzi</t>
        </is>
      </c>
      <c r="B263" s="52" t="inlineStr">
        <is>
          <t>C</t>
        </is>
      </c>
      <c r="C263" s="35" t="inlineStr">
        <is>
          <t>T</t>
        </is>
      </c>
      <c r="D263" s="35" t="inlineStr">
        <is>
          <t>Genoa</t>
        </is>
      </c>
      <c r="E263" s="50" t="n">
        <v>11</v>
      </c>
      <c r="F263" s="50" t="n">
        <v>30</v>
      </c>
    </row>
    <row r="264">
      <c r="A264" s="25" t="inlineStr">
        <is>
          <t>Rowe</t>
        </is>
      </c>
      <c r="B264" s="52" t="inlineStr">
        <is>
          <t>C</t>
        </is>
      </c>
      <c r="C264" s="35" t="inlineStr">
        <is>
          <t>W;T</t>
        </is>
      </c>
      <c r="D264" s="35" t="inlineStr">
        <is>
          <t>Bologna</t>
        </is>
      </c>
      <c r="E264" s="50" t="n">
        <v>11</v>
      </c>
      <c r="F264" s="50" t="n">
        <v>37</v>
      </c>
    </row>
    <row r="265">
      <c r="A265" s="25" t="inlineStr">
        <is>
          <t>Zambo Anguissa</t>
        </is>
      </c>
      <c r="B265" s="52" t="inlineStr">
        <is>
          <t>C</t>
        </is>
      </c>
      <c r="C265" s="35" t="inlineStr">
        <is>
          <t>C</t>
        </is>
      </c>
      <c r="D265" s="35" t="inlineStr">
        <is>
          <t>Napoli</t>
        </is>
      </c>
      <c r="E265" s="50" t="n">
        <v>11</v>
      </c>
      <c r="F265" s="50" t="n">
        <v>54</v>
      </c>
    </row>
    <row r="266">
      <c r="A266" s="25" t="inlineStr">
        <is>
          <t>Casadei</t>
        </is>
      </c>
      <c r="B266" s="52" t="inlineStr">
        <is>
          <t>C</t>
        </is>
      </c>
      <c r="C266" s="35" t="inlineStr">
        <is>
          <t>C;T</t>
        </is>
      </c>
      <c r="D266" s="35" t="inlineStr">
        <is>
          <t>Torino</t>
        </is>
      </c>
      <c r="E266" s="50" t="n">
        <v>10</v>
      </c>
      <c r="F266" s="50" t="n">
        <v>37</v>
      </c>
    </row>
    <row r="267">
      <c r="A267" s="25" t="inlineStr">
        <is>
          <t>Ekkelenkamp</t>
        </is>
      </c>
      <c r="B267" s="52" t="inlineStr">
        <is>
          <t>C</t>
        </is>
      </c>
      <c r="C267" s="35" t="inlineStr">
        <is>
          <t>C;T</t>
        </is>
      </c>
      <c r="D267" s="35" t="inlineStr">
        <is>
          <t>Udinese</t>
        </is>
      </c>
      <c r="E267" s="50" t="n">
        <v>10</v>
      </c>
      <c r="F267" s="50" t="n">
        <v>41</v>
      </c>
    </row>
    <row r="268">
      <c r="A268" s="25" t="inlineStr">
        <is>
          <t>Konè M.</t>
        </is>
      </c>
      <c r="B268" s="52" t="inlineStr">
        <is>
          <t>C</t>
        </is>
      </c>
      <c r="C268" s="35" t="inlineStr">
        <is>
          <t>M;C</t>
        </is>
      </c>
      <c r="D268" s="35" t="inlineStr">
        <is>
          <t>Roma</t>
        </is>
      </c>
      <c r="E268" s="50" t="n">
        <v>10</v>
      </c>
      <c r="F268" s="50" t="n">
        <v>42</v>
      </c>
    </row>
    <row r="269">
      <c r="A269" s="25" t="inlineStr">
        <is>
          <t>Pellegrini Lo.</t>
        </is>
      </c>
      <c r="B269" s="52" t="inlineStr">
        <is>
          <t>C</t>
        </is>
      </c>
      <c r="C269" s="35" t="inlineStr">
        <is>
          <t>C;T</t>
        </is>
      </c>
      <c r="D269" s="35" t="inlineStr">
        <is>
          <t>Roma</t>
        </is>
      </c>
      <c r="E269" s="50" t="n">
        <v>10</v>
      </c>
      <c r="F269" s="50" t="n">
        <v>28</v>
      </c>
    </row>
    <row r="270">
      <c r="A270" s="25" t="inlineStr">
        <is>
          <t>Perrone</t>
        </is>
      </c>
      <c r="B270" s="52" t="inlineStr">
        <is>
          <t>C</t>
        </is>
      </c>
      <c r="C270" s="35" t="inlineStr">
        <is>
          <t>M;C</t>
        </is>
      </c>
      <c r="D270" s="35" t="inlineStr">
        <is>
          <t>Como</t>
        </is>
      </c>
      <c r="E270" s="50" t="n">
        <v>10</v>
      </c>
      <c r="F270" s="50" t="n">
        <v>38</v>
      </c>
    </row>
    <row r="271">
      <c r="A271" s="25" t="inlineStr">
        <is>
          <t>Politano</t>
        </is>
      </c>
      <c r="B271" s="52" t="inlineStr">
        <is>
          <t>C</t>
        </is>
      </c>
      <c r="C271" s="35" t="inlineStr">
        <is>
          <t>W</t>
        </is>
      </c>
      <c r="D271" s="35" t="inlineStr">
        <is>
          <t>Napoli</t>
        </is>
      </c>
      <c r="E271" s="50" t="n">
        <v>10</v>
      </c>
      <c r="F271" s="50" t="n">
        <v>47</v>
      </c>
    </row>
    <row r="272">
      <c r="A272" s="25" t="inlineStr">
        <is>
          <t>Saelemaekers</t>
        </is>
      </c>
      <c r="B272" s="52" t="inlineStr">
        <is>
          <t>C</t>
        </is>
      </c>
      <c r="C272" s="35" t="inlineStr">
        <is>
          <t>E;W</t>
        </is>
      </c>
      <c r="D272" s="35" t="inlineStr">
        <is>
          <t>Milan</t>
        </is>
      </c>
      <c r="E272" s="50" t="n">
        <v>10</v>
      </c>
      <c r="F272" s="50" t="n">
        <v>43</v>
      </c>
    </row>
    <row r="273">
      <c r="A273" s="25" t="inlineStr">
        <is>
          <t>Thorstvedt</t>
        </is>
      </c>
      <c r="B273" s="52" t="inlineStr">
        <is>
          <t>C</t>
        </is>
      </c>
      <c r="C273" s="35" t="inlineStr">
        <is>
          <t>C;T</t>
        </is>
      </c>
      <c r="D273" s="35" t="inlineStr">
        <is>
          <t>Sassuolo</t>
        </is>
      </c>
      <c r="E273" s="50" t="n">
        <v>10</v>
      </c>
      <c r="F273" s="50" t="n">
        <v>41</v>
      </c>
    </row>
    <row r="274">
      <c r="A274" s="25" t="inlineStr">
        <is>
          <t>Thuram K.</t>
        </is>
      </c>
      <c r="B274" s="52" t="inlineStr">
        <is>
          <t>C</t>
        </is>
      </c>
      <c r="C274" s="35" t="inlineStr">
        <is>
          <t>C</t>
        </is>
      </c>
      <c r="D274" s="35" t="inlineStr">
        <is>
          <t>Juventus</t>
        </is>
      </c>
      <c r="E274" s="50" t="n">
        <v>10</v>
      </c>
      <c r="F274" s="50" t="n">
        <v>41</v>
      </c>
    </row>
    <row r="275">
      <c r="A275" s="25" t="inlineStr">
        <is>
          <t>Zielinski</t>
        </is>
      </c>
      <c r="B275" s="52" t="inlineStr">
        <is>
          <t>C</t>
        </is>
      </c>
      <c r="C275" s="35" t="inlineStr">
        <is>
          <t>C</t>
        </is>
      </c>
      <c r="D275" s="35" t="inlineStr">
        <is>
          <t>Inter</t>
        </is>
      </c>
      <c r="E275" s="50" t="n">
        <v>10</v>
      </c>
      <c r="F275" s="50" t="n">
        <v>41</v>
      </c>
    </row>
    <row r="276">
      <c r="A276" s="25" t="inlineStr">
        <is>
          <t>Bernardeschi</t>
        </is>
      </c>
      <c r="B276" s="52" t="inlineStr">
        <is>
          <t>C</t>
        </is>
      </c>
      <c r="C276" s="35" t="inlineStr">
        <is>
          <t>W;T</t>
        </is>
      </c>
      <c r="D276" s="35" t="inlineStr">
        <is>
          <t>Bologna</t>
        </is>
      </c>
      <c r="E276" s="50" t="n">
        <v>9</v>
      </c>
      <c r="F276" s="50" t="n">
        <v>21</v>
      </c>
    </row>
    <row r="277">
      <c r="A277" s="25" t="inlineStr">
        <is>
          <t>Cancellieri</t>
        </is>
      </c>
      <c r="B277" s="52" t="inlineStr">
        <is>
          <t>C</t>
        </is>
      </c>
      <c r="C277" s="35" t="inlineStr">
        <is>
          <t>W;A</t>
        </is>
      </c>
      <c r="D277" s="35" t="inlineStr">
        <is>
          <t>Lazio</t>
        </is>
      </c>
      <c r="E277" s="50" t="n">
        <v>9</v>
      </c>
      <c r="F277" s="50" t="n">
        <v>28</v>
      </c>
    </row>
    <row r="278">
      <c r="A278" s="25" t="inlineStr">
        <is>
          <t>Isaksen</t>
        </is>
      </c>
      <c r="B278" s="52" t="inlineStr">
        <is>
          <t>C</t>
        </is>
      </c>
      <c r="C278" s="35" t="inlineStr">
        <is>
          <t>W;A</t>
        </is>
      </c>
      <c r="D278" s="35" t="inlineStr">
        <is>
          <t>Lazio</t>
        </is>
      </c>
      <c r="E278" s="50" t="n">
        <v>9</v>
      </c>
      <c r="F278" s="50" t="n">
        <v>25</v>
      </c>
    </row>
    <row r="279">
      <c r="A279" s="25" t="inlineStr">
        <is>
          <t>Konè I.</t>
        </is>
      </c>
      <c r="B279" s="52" t="inlineStr">
        <is>
          <t>C</t>
        </is>
      </c>
      <c r="C279" s="35" t="inlineStr">
        <is>
          <t>C</t>
        </is>
      </c>
      <c r="D279" s="35" t="inlineStr">
        <is>
          <t>Sassuolo</t>
        </is>
      </c>
      <c r="E279" s="50" t="n">
        <v>9</v>
      </c>
      <c r="F279" s="50" t="n">
        <v>20</v>
      </c>
    </row>
    <row r="280">
      <c r="A280" s="25" t="inlineStr">
        <is>
          <t>Mandragora</t>
        </is>
      </c>
      <c r="B280" s="52" t="inlineStr">
        <is>
          <t>C</t>
        </is>
      </c>
      <c r="C280" s="35" t="inlineStr">
        <is>
          <t>C</t>
        </is>
      </c>
      <c r="D280" s="35" t="inlineStr">
        <is>
          <t>Fiorentina</t>
        </is>
      </c>
      <c r="E280" s="50" t="n">
        <v>9</v>
      </c>
      <c r="F280" s="50" t="n">
        <v>28</v>
      </c>
    </row>
    <row r="281">
      <c r="A281" s="25" t="inlineStr">
        <is>
          <t>Pasalic</t>
        </is>
      </c>
      <c r="B281" s="52" t="inlineStr">
        <is>
          <t>C</t>
        </is>
      </c>
      <c r="C281" s="35" t="inlineStr">
        <is>
          <t>C;T</t>
        </is>
      </c>
      <c r="D281" s="35" t="inlineStr">
        <is>
          <t>Atalanta</t>
        </is>
      </c>
      <c r="E281" s="50" t="n">
        <v>9</v>
      </c>
      <c r="F281" s="50" t="n">
        <v>32</v>
      </c>
    </row>
    <row r="282">
      <c r="A282" s="25" t="inlineStr">
        <is>
          <t>Cambiaghi</t>
        </is>
      </c>
      <c r="B282" s="52" t="inlineStr">
        <is>
          <t>C</t>
        </is>
      </c>
      <c r="C282" s="35" t="inlineStr">
        <is>
          <t>W;A</t>
        </is>
      </c>
      <c r="D282" s="35" t="inlineStr">
        <is>
          <t>Bologna</t>
        </is>
      </c>
      <c r="E282" s="50" t="n">
        <v>8</v>
      </c>
      <c r="F282" s="50" t="n">
        <v>25</v>
      </c>
    </row>
    <row r="283">
      <c r="A283" s="25" t="inlineStr">
        <is>
          <t>Colpani</t>
        </is>
      </c>
      <c r="B283" s="52" t="inlineStr">
        <is>
          <t>C</t>
        </is>
      </c>
      <c r="C283" s="35" t="inlineStr">
        <is>
          <t>T</t>
        </is>
      </c>
      <c r="D283" s="35" t="inlineStr">
        <is>
          <t>Monza</t>
        </is>
      </c>
      <c r="E283" s="50" t="n">
        <v>8</v>
      </c>
      <c r="F283" s="50" t="n">
        <v>25</v>
      </c>
    </row>
    <row r="284">
      <c r="A284" s="25" t="inlineStr">
        <is>
          <t>Cristante</t>
        </is>
      </c>
      <c r="B284" s="52" t="inlineStr">
        <is>
          <t>C</t>
        </is>
      </c>
      <c r="C284" s="35" t="inlineStr">
        <is>
          <t>M;C</t>
        </is>
      </c>
      <c r="D284" s="35" t="inlineStr">
        <is>
          <t>Roma</t>
        </is>
      </c>
      <c r="E284" s="50" t="n">
        <v>8</v>
      </c>
      <c r="F284" s="50" t="n">
        <v>29</v>
      </c>
    </row>
    <row r="285">
      <c r="A285" s="25" t="inlineStr">
        <is>
          <t>Diouf</t>
        </is>
      </c>
      <c r="B285" s="52" t="inlineStr">
        <is>
          <t>C</t>
        </is>
      </c>
      <c r="C285" s="35" t="inlineStr">
        <is>
          <t>E;C</t>
        </is>
      </c>
      <c r="D285" s="35" t="inlineStr">
        <is>
          <t>Inter</t>
        </is>
      </c>
      <c r="E285" s="50" t="n">
        <v>8</v>
      </c>
      <c r="F285" s="50" t="n">
        <v>37</v>
      </c>
    </row>
    <row r="286">
      <c r="A286" s="25" t="inlineStr">
        <is>
          <t>Fagioli</t>
        </is>
      </c>
      <c r="B286" s="52" t="inlineStr">
        <is>
          <t>C</t>
        </is>
      </c>
      <c r="C286" s="35" t="inlineStr">
        <is>
          <t>M;C</t>
        </is>
      </c>
      <c r="D286" s="35" t="inlineStr">
        <is>
          <t>Fiorentina</t>
        </is>
      </c>
      <c r="E286" s="50" t="n">
        <v>8</v>
      </c>
      <c r="F286" s="50" t="n">
        <v>23</v>
      </c>
    </row>
    <row r="287">
      <c r="A287" s="25" t="inlineStr">
        <is>
          <t>Locatelli</t>
        </is>
      </c>
      <c r="B287" s="52" t="inlineStr">
        <is>
          <t>C</t>
        </is>
      </c>
      <c r="C287" s="35" t="inlineStr">
        <is>
          <t>M;C</t>
        </is>
      </c>
      <c r="D287" s="35" t="inlineStr">
        <is>
          <t>Juventus</t>
        </is>
      </c>
      <c r="E287" s="50" t="n">
        <v>8</v>
      </c>
      <c r="F287" s="50" t="n">
        <v>32</v>
      </c>
    </row>
    <row r="288">
      <c r="A288" s="25" t="inlineStr">
        <is>
          <t>Ndour</t>
        </is>
      </c>
      <c r="B288" s="52" t="inlineStr">
        <is>
          <t>C</t>
        </is>
      </c>
      <c r="C288" s="35" t="inlineStr">
        <is>
          <t>C</t>
        </is>
      </c>
      <c r="D288" s="35" t="inlineStr">
        <is>
          <t>Fiorentina</t>
        </is>
      </c>
      <c r="E288" s="50" t="n">
        <v>8</v>
      </c>
      <c r="F288" s="50" t="n">
        <v>25</v>
      </c>
    </row>
    <row r="289">
      <c r="A289" s="25" t="inlineStr">
        <is>
          <t>Odgaard</t>
        </is>
      </c>
      <c r="B289" s="52" t="inlineStr">
        <is>
          <t>C</t>
        </is>
      </c>
      <c r="C289" s="35" t="inlineStr">
        <is>
          <t>T</t>
        </is>
      </c>
      <c r="D289" s="35" t="inlineStr">
        <is>
          <t>Bologna</t>
        </is>
      </c>
      <c r="E289" s="50" t="n">
        <v>8</v>
      </c>
      <c r="F289" s="50" t="n">
        <v>22</v>
      </c>
    </row>
    <row r="290">
      <c r="A290" s="25" t="inlineStr">
        <is>
          <t>Sucic P.</t>
        </is>
      </c>
      <c r="B290" s="52" t="inlineStr">
        <is>
          <t>C</t>
        </is>
      </c>
      <c r="C290" s="35" t="inlineStr">
        <is>
          <t>C</t>
        </is>
      </c>
      <c r="D290" s="35" t="inlineStr">
        <is>
          <t>Inter</t>
        </is>
      </c>
      <c r="E290" s="50" t="n">
        <v>8</v>
      </c>
      <c r="F290" s="50" t="n">
        <v>26</v>
      </c>
    </row>
    <row r="291">
      <c r="A291" s="25" t="inlineStr">
        <is>
          <t>Vergara</t>
        </is>
      </c>
      <c r="B291" s="52" t="inlineStr">
        <is>
          <t>C</t>
        </is>
      </c>
      <c r="C291" s="35" t="inlineStr">
        <is>
          <t>W;T</t>
        </is>
      </c>
      <c r="D291" s="35" t="inlineStr">
        <is>
          <t>Napoli</t>
        </is>
      </c>
      <c r="E291" s="50" t="n">
        <v>8</v>
      </c>
      <c r="F291" s="50" t="n">
        <v>34</v>
      </c>
    </row>
    <row r="292">
      <c r="A292" s="25" t="inlineStr">
        <is>
          <t>Bernabè</t>
        </is>
      </c>
      <c r="B292" s="52" t="inlineStr">
        <is>
          <t>C</t>
        </is>
      </c>
      <c r="C292" s="35" t="inlineStr">
        <is>
          <t>C</t>
        </is>
      </c>
      <c r="D292" s="35" t="inlineStr">
        <is>
          <t>Parma</t>
        </is>
      </c>
      <c r="E292" s="50" t="n">
        <v>7</v>
      </c>
      <c r="F292" s="50" t="n">
        <v>36</v>
      </c>
    </row>
    <row r="293">
      <c r="A293" s="25" t="inlineStr">
        <is>
          <t>Calò</t>
        </is>
      </c>
      <c r="B293" s="52" t="inlineStr">
        <is>
          <t>C</t>
        </is>
      </c>
      <c r="C293" s="35" t="inlineStr">
        <is>
          <t>M;C</t>
        </is>
      </c>
      <c r="D293" s="35" t="inlineStr">
        <is>
          <t>Frosinone</t>
        </is>
      </c>
      <c r="E293" s="50" t="n">
        <v>7</v>
      </c>
      <c r="F293" s="50" t="n">
        <v>25</v>
      </c>
    </row>
    <row r="294">
      <c r="A294" s="25" t="inlineStr">
        <is>
          <t>Fazzini</t>
        </is>
      </c>
      <c r="B294" s="52" t="inlineStr">
        <is>
          <t>C</t>
        </is>
      </c>
      <c r="C294" s="35" t="inlineStr">
        <is>
          <t>C;T</t>
        </is>
      </c>
      <c r="D294" s="35" t="inlineStr">
        <is>
          <t>Cagliari</t>
        </is>
      </c>
      <c r="E294" s="50" t="n">
        <v>7</v>
      </c>
      <c r="F294" s="50" t="n">
        <v>19</v>
      </c>
    </row>
    <row r="295">
      <c r="A295" s="25" t="inlineStr">
        <is>
          <t>Ferguson</t>
        </is>
      </c>
      <c r="B295" s="52" t="inlineStr">
        <is>
          <t>C</t>
        </is>
      </c>
      <c r="C295" s="35" t="inlineStr">
        <is>
          <t>M;C</t>
        </is>
      </c>
      <c r="D295" s="35" t="inlineStr">
        <is>
          <t>Bologna</t>
        </is>
      </c>
      <c r="E295" s="50" t="n">
        <v>7</v>
      </c>
      <c r="F295" s="50" t="n">
        <v>18</v>
      </c>
    </row>
    <row r="296">
      <c r="A296" s="25" t="inlineStr">
        <is>
          <t>Frattesi</t>
        </is>
      </c>
      <c r="B296" s="52" t="inlineStr">
        <is>
          <t>C</t>
        </is>
      </c>
      <c r="C296" s="35" t="inlineStr">
        <is>
          <t>C;T</t>
        </is>
      </c>
      <c r="D296" s="35" t="inlineStr">
        <is>
          <t>Inter</t>
        </is>
      </c>
      <c r="E296" s="50" t="n">
        <v>7</v>
      </c>
      <c r="F296" s="50" t="n">
        <v>13</v>
      </c>
    </row>
    <row r="297">
      <c r="A297" s="25" t="inlineStr">
        <is>
          <t>Frendrup</t>
        </is>
      </c>
      <c r="B297" s="52" t="inlineStr">
        <is>
          <t>C</t>
        </is>
      </c>
      <c r="C297" s="35" t="inlineStr">
        <is>
          <t>M;C</t>
        </is>
      </c>
      <c r="D297" s="35" t="inlineStr">
        <is>
          <t>Genoa</t>
        </is>
      </c>
      <c r="E297" s="50" t="n">
        <v>7</v>
      </c>
      <c r="F297" s="50" t="n">
        <v>19</v>
      </c>
    </row>
    <row r="298">
      <c r="A298" s="25" t="inlineStr">
        <is>
          <t>Gaetano</t>
        </is>
      </c>
      <c r="B298" s="52" t="inlineStr">
        <is>
          <t>C</t>
        </is>
      </c>
      <c r="C298" s="35" t="inlineStr">
        <is>
          <t>M;C</t>
        </is>
      </c>
      <c r="D298" s="35" t="inlineStr">
        <is>
          <t>Atalanta</t>
        </is>
      </c>
      <c r="E298" s="50" t="n">
        <v>7</v>
      </c>
      <c r="F298" s="50" t="n">
        <v>24</v>
      </c>
    </row>
    <row r="299">
      <c r="A299" s="25" t="inlineStr">
        <is>
          <t>Lobotka</t>
        </is>
      </c>
      <c r="B299" s="52" t="inlineStr">
        <is>
          <t>C</t>
        </is>
      </c>
      <c r="C299" s="35" t="inlineStr">
        <is>
          <t>M;C</t>
        </is>
      </c>
      <c r="D299" s="35" t="inlineStr">
        <is>
          <t>Napoli</t>
        </is>
      </c>
      <c r="E299" s="50" t="n">
        <v>7</v>
      </c>
      <c r="F299" s="50" t="n">
        <v>20</v>
      </c>
    </row>
    <row r="300">
      <c r="A300" s="25" t="inlineStr">
        <is>
          <t>Oristanio</t>
        </is>
      </c>
      <c r="B300" s="52" t="inlineStr">
        <is>
          <t>C</t>
        </is>
      </c>
      <c r="C300" s="35" t="inlineStr">
        <is>
          <t>W;T</t>
        </is>
      </c>
      <c r="D300" s="35" t="inlineStr">
        <is>
          <t>Torino</t>
        </is>
      </c>
      <c r="E300" s="50" t="n">
        <v>7</v>
      </c>
      <c r="F300" s="50" t="n">
        <v>27</v>
      </c>
    </row>
    <row r="301">
      <c r="A301" s="25" t="inlineStr">
        <is>
          <t>Pessina</t>
        </is>
      </c>
      <c r="B301" s="52" t="inlineStr">
        <is>
          <t>C</t>
        </is>
      </c>
      <c r="C301" s="35" t="inlineStr">
        <is>
          <t>M;C</t>
        </is>
      </c>
      <c r="D301" s="35" t="inlineStr">
        <is>
          <t>Monza</t>
        </is>
      </c>
      <c r="E301" s="50" t="n">
        <v>7</v>
      </c>
      <c r="F301" s="50" t="n">
        <v>20</v>
      </c>
    </row>
    <row r="302">
      <c r="A302" s="25" t="inlineStr">
        <is>
          <t>Sow</t>
        </is>
      </c>
      <c r="B302" s="52" t="inlineStr">
        <is>
          <t>C</t>
        </is>
      </c>
      <c r="C302" s="35" t="inlineStr">
        <is>
          <t>M;C</t>
        </is>
      </c>
      <c r="D302" s="35" t="inlineStr">
        <is>
          <t>Genoa</t>
        </is>
      </c>
      <c r="E302" s="50" t="n">
        <v>7</v>
      </c>
      <c r="F302" s="50" t="n">
        <v>14</v>
      </c>
    </row>
    <row r="303">
      <c r="A303" s="25" t="inlineStr">
        <is>
          <t>Unai Gomez</t>
        </is>
      </c>
      <c r="B303" s="52" t="inlineStr">
        <is>
          <t>C</t>
        </is>
      </c>
      <c r="C303" s="35" t="inlineStr">
        <is>
          <t>T</t>
        </is>
      </c>
      <c r="D303" s="35" t="inlineStr">
        <is>
          <t>Udinese</t>
        </is>
      </c>
      <c r="E303" s="50" t="n">
        <v>7</v>
      </c>
      <c r="F303" s="50" t="n">
        <v>23</v>
      </c>
    </row>
    <row r="304">
      <c r="A304" s="25" t="inlineStr">
        <is>
          <t>Volpato</t>
        </is>
      </c>
      <c r="B304" s="52" t="inlineStr">
        <is>
          <t>C</t>
        </is>
      </c>
      <c r="C304" s="35" t="inlineStr">
        <is>
          <t>W;T</t>
        </is>
      </c>
      <c r="D304" s="35" t="inlineStr">
        <is>
          <t>Sassuolo</t>
        </is>
      </c>
      <c r="E304" s="50" t="n">
        <v>7</v>
      </c>
      <c r="F304" s="50" t="n">
        <v>23</v>
      </c>
    </row>
    <row r="305">
      <c r="A305" s="25" t="inlineStr">
        <is>
          <t>Adopo</t>
        </is>
      </c>
      <c r="B305" s="52" t="inlineStr">
        <is>
          <t>C</t>
        </is>
      </c>
      <c r="C305" s="35" t="inlineStr">
        <is>
          <t>M;C</t>
        </is>
      </c>
      <c r="D305" s="35" t="inlineStr">
        <is>
          <t>Cagliari</t>
        </is>
      </c>
      <c r="E305" s="50" t="n">
        <v>6</v>
      </c>
      <c r="F305" s="50" t="n">
        <v>13</v>
      </c>
    </row>
    <row r="306">
      <c r="A306" s="25" t="inlineStr">
        <is>
          <t>Akinsanmiro</t>
        </is>
      </c>
      <c r="B306" s="52" t="inlineStr">
        <is>
          <t>C</t>
        </is>
      </c>
      <c r="C306" s="35" t="inlineStr">
        <is>
          <t>C</t>
        </is>
      </c>
      <c r="D306" s="35" t="inlineStr">
        <is>
          <t>Monza</t>
        </is>
      </c>
      <c r="E306" s="50" t="n">
        <v>6</v>
      </c>
      <c r="F306" s="50" t="n">
        <v>16</v>
      </c>
    </row>
    <row r="307">
      <c r="A307" s="25" t="inlineStr">
        <is>
          <t>Basic</t>
        </is>
      </c>
      <c r="B307" s="52" t="inlineStr">
        <is>
          <t>C</t>
        </is>
      </c>
      <c r="C307" s="35" t="inlineStr">
        <is>
          <t>M;C</t>
        </is>
      </c>
      <c r="D307" s="35" t="inlineStr">
        <is>
          <t>Venezia</t>
        </is>
      </c>
      <c r="E307" s="50" t="n">
        <v>6</v>
      </c>
      <c r="F307" s="50" t="n">
        <v>19</v>
      </c>
    </row>
    <row r="308">
      <c r="A308" s="25" t="inlineStr">
        <is>
          <t>Caqueret</t>
        </is>
      </c>
      <c r="B308" s="52" t="inlineStr">
        <is>
          <t>C</t>
        </is>
      </c>
      <c r="C308" s="35" t="inlineStr">
        <is>
          <t>C;T</t>
        </is>
      </c>
      <c r="D308" s="35" t="inlineStr">
        <is>
          <t>Como</t>
        </is>
      </c>
      <c r="E308" s="50" t="n">
        <v>6</v>
      </c>
      <c r="F308" s="50" t="n">
        <v>20</v>
      </c>
    </row>
    <row r="309">
      <c r="A309" s="25" t="inlineStr">
        <is>
          <t>Chukwueze</t>
        </is>
      </c>
      <c r="B309" s="52" t="inlineStr">
        <is>
          <t>C</t>
        </is>
      </c>
      <c r="C309" s="35" t="inlineStr">
        <is>
          <t>W</t>
        </is>
      </c>
      <c r="D309" s="35" t="inlineStr">
        <is>
          <t>Milan</t>
        </is>
      </c>
      <c r="E309" s="50" t="n">
        <v>6</v>
      </c>
      <c r="F309" s="50" t="n">
        <v>11</v>
      </c>
    </row>
    <row r="310">
      <c r="A310" s="25" t="inlineStr">
        <is>
          <t>Coulibaly L.</t>
        </is>
      </c>
      <c r="B310" s="52" t="inlineStr">
        <is>
          <t>C</t>
        </is>
      </c>
      <c r="C310" s="35" t="inlineStr">
        <is>
          <t>M;C</t>
        </is>
      </c>
      <c r="D310" s="35" t="inlineStr">
        <is>
          <t>Lecce</t>
        </is>
      </c>
      <c r="E310" s="50" t="n">
        <v>6</v>
      </c>
      <c r="F310" s="50" t="n">
        <v>14</v>
      </c>
    </row>
    <row r="311">
      <c r="A311" s="25" t="inlineStr">
        <is>
          <t>Ellertsson</t>
        </is>
      </c>
      <c r="B311" s="52" t="inlineStr">
        <is>
          <t>C</t>
        </is>
      </c>
      <c r="C311" s="35" t="inlineStr">
        <is>
          <t>E;C</t>
        </is>
      </c>
      <c r="D311" s="35" t="inlineStr">
        <is>
          <t>Genoa</t>
        </is>
      </c>
      <c r="E311" s="50" t="n">
        <v>6</v>
      </c>
      <c r="F311" s="50" t="n">
        <v>18</v>
      </c>
    </row>
    <row r="312">
      <c r="A312" s="25" t="inlineStr">
        <is>
          <t>Karlstrom</t>
        </is>
      </c>
      <c r="B312" s="52" t="inlineStr">
        <is>
          <t>C</t>
        </is>
      </c>
      <c r="C312" s="35" t="inlineStr">
        <is>
          <t>M;C</t>
        </is>
      </c>
      <c r="D312" s="35" t="inlineStr">
        <is>
          <t>Udinese</t>
        </is>
      </c>
      <c r="E312" s="50" t="n">
        <v>6</v>
      </c>
      <c r="F312" s="50" t="n">
        <v>20</v>
      </c>
    </row>
    <row r="313">
      <c r="A313" s="25" t="inlineStr">
        <is>
          <t>Liberali</t>
        </is>
      </c>
      <c r="B313" s="52" t="inlineStr">
        <is>
          <t>C</t>
        </is>
      </c>
      <c r="C313" s="35" t="inlineStr">
        <is>
          <t>T</t>
        </is>
      </c>
      <c r="D313" s="35" t="inlineStr">
        <is>
          <t>Como</t>
        </is>
      </c>
      <c r="E313" s="50" t="n">
        <v>6</v>
      </c>
      <c r="F313" s="50" t="n">
        <v>22</v>
      </c>
    </row>
    <row r="314">
      <c r="A314" s="25" t="inlineStr">
        <is>
          <t>Nicolussi Caviglia</t>
        </is>
      </c>
      <c r="B314" s="52" t="inlineStr">
        <is>
          <t>C</t>
        </is>
      </c>
      <c r="C314" s="35" t="inlineStr">
        <is>
          <t>M;C</t>
        </is>
      </c>
      <c r="D314" s="35" t="inlineStr">
        <is>
          <t>Parma</t>
        </is>
      </c>
      <c r="E314" s="50" t="n">
        <v>6</v>
      </c>
      <c r="F314" s="50" t="n">
        <v>18</v>
      </c>
    </row>
    <row r="315">
      <c r="A315" s="25" t="inlineStr">
        <is>
          <t>Oulai</t>
        </is>
      </c>
      <c r="B315" s="52" t="inlineStr">
        <is>
          <t>C</t>
        </is>
      </c>
      <c r="C315" s="35" t="inlineStr">
        <is>
          <t>M;C</t>
        </is>
      </c>
      <c r="D315" s="35" t="inlineStr">
        <is>
          <t>Fiorentina</t>
        </is>
      </c>
      <c r="E315" s="50" t="n">
        <v>6</v>
      </c>
      <c r="F315" s="50" t="n">
        <v>20</v>
      </c>
    </row>
    <row r="316">
      <c r="A316" s="25" t="inlineStr">
        <is>
          <t>Pierotti</t>
        </is>
      </c>
      <c r="B316" s="52" t="inlineStr">
        <is>
          <t>C</t>
        </is>
      </c>
      <c r="C316" s="35" t="inlineStr">
        <is>
          <t>W</t>
        </is>
      </c>
      <c r="D316" s="35" t="inlineStr">
        <is>
          <t>Lecce</t>
        </is>
      </c>
      <c r="E316" s="50" t="n">
        <v>6</v>
      </c>
      <c r="F316" s="50" t="n">
        <v>19</v>
      </c>
    </row>
    <row r="317">
      <c r="A317" s="25" t="inlineStr">
        <is>
          <t>Pobega</t>
        </is>
      </c>
      <c r="B317" s="52" t="inlineStr">
        <is>
          <t>C</t>
        </is>
      </c>
      <c r="C317" s="35" t="inlineStr">
        <is>
          <t>M;C</t>
        </is>
      </c>
      <c r="D317" s="35" t="inlineStr">
        <is>
          <t>Bologna</t>
        </is>
      </c>
      <c r="E317" s="50" t="n">
        <v>6</v>
      </c>
      <c r="F317" s="50" t="n">
        <v>14</v>
      </c>
    </row>
    <row r="318">
      <c r="A318" s="25" t="inlineStr">
        <is>
          <t>Rovella</t>
        </is>
      </c>
      <c r="B318" s="52" t="inlineStr">
        <is>
          <t>C</t>
        </is>
      </c>
      <c r="C318" s="35" t="inlineStr">
        <is>
          <t>M;C</t>
        </is>
      </c>
      <c r="D318" s="35" t="inlineStr">
        <is>
          <t>Lazio</t>
        </is>
      </c>
      <c r="E318" s="50" t="n">
        <v>6</v>
      </c>
      <c r="F318" s="50" t="n">
        <v>16</v>
      </c>
    </row>
    <row r="319">
      <c r="A319" s="25" t="inlineStr">
        <is>
          <t>Winks</t>
        </is>
      </c>
      <c r="B319" s="52" t="inlineStr">
        <is>
          <t>C</t>
        </is>
      </c>
      <c r="C319" s="35" t="inlineStr">
        <is>
          <t>M;C</t>
        </is>
      </c>
      <c r="D319" s="35" t="inlineStr">
        <is>
          <t>Cagliari</t>
        </is>
      </c>
      <c r="E319" s="50" t="n">
        <v>6</v>
      </c>
      <c r="F319" s="50" t="n">
        <v>14</v>
      </c>
    </row>
    <row r="320">
      <c r="A320" s="25" t="inlineStr">
        <is>
          <t>Zalewski</t>
        </is>
      </c>
      <c r="B320" s="52" t="inlineStr">
        <is>
          <t>C</t>
        </is>
      </c>
      <c r="C320" s="35" t="inlineStr">
        <is>
          <t>W</t>
        </is>
      </c>
      <c r="D320" s="35" t="inlineStr">
        <is>
          <t>Atalanta</t>
        </is>
      </c>
      <c r="E320" s="50" t="n">
        <v>6</v>
      </c>
      <c r="F320" s="50" t="n">
        <v>21</v>
      </c>
    </row>
    <row r="321">
      <c r="A321" s="25" t="inlineStr">
        <is>
          <t>Zhegrova</t>
        </is>
      </c>
      <c r="B321" s="52" t="inlineStr">
        <is>
          <t>C</t>
        </is>
      </c>
      <c r="C321" s="35" t="inlineStr">
        <is>
          <t>W</t>
        </is>
      </c>
      <c r="D321" s="35" t="inlineStr">
        <is>
          <t>Juventus</t>
        </is>
      </c>
      <c r="E321" s="50" t="n">
        <v>6</v>
      </c>
      <c r="F321" s="50" t="n">
        <v>18</v>
      </c>
    </row>
    <row r="322">
      <c r="A322" s="25" t="inlineStr">
        <is>
          <t>Addai</t>
        </is>
      </c>
      <c r="B322" s="52" t="inlineStr">
        <is>
          <t>C</t>
        </is>
      </c>
      <c r="C322" s="35" t="inlineStr">
        <is>
          <t>W;A</t>
        </is>
      </c>
      <c r="D322" s="35" t="inlineStr">
        <is>
          <t>Como</t>
        </is>
      </c>
      <c r="E322" s="50" t="n">
        <v>5</v>
      </c>
      <c r="F322" s="50" t="n">
        <v>10</v>
      </c>
    </row>
    <row r="323">
      <c r="A323" s="25" t="inlineStr">
        <is>
          <t>Adzic</t>
        </is>
      </c>
      <c r="B323" s="52" t="inlineStr">
        <is>
          <t>C</t>
        </is>
      </c>
      <c r="C323" s="35" t="inlineStr">
        <is>
          <t>C;T</t>
        </is>
      </c>
      <c r="D323" s="35" t="inlineStr">
        <is>
          <t>Sassuolo</t>
        </is>
      </c>
      <c r="E323" s="50" t="n">
        <v>5</v>
      </c>
      <c r="F323" s="50" t="n">
        <v>14</v>
      </c>
    </row>
    <row r="324">
      <c r="A324" s="25" t="inlineStr">
        <is>
          <t>Amondarain</t>
        </is>
      </c>
      <c r="B324" s="52" t="inlineStr">
        <is>
          <t>C</t>
        </is>
      </c>
      <c r="C324" s="35" t="inlineStr">
        <is>
          <t>M;C</t>
        </is>
      </c>
      <c r="D324" s="35" t="inlineStr">
        <is>
          <t>Bologna</t>
        </is>
      </c>
      <c r="E324" s="50" t="n">
        <v>5</v>
      </c>
      <c r="F324" s="50" t="n">
        <v>12</v>
      </c>
    </row>
    <row r="325">
      <c r="A325" s="25" t="inlineStr">
        <is>
          <t>Bakola</t>
        </is>
      </c>
      <c r="B325" s="52" t="inlineStr">
        <is>
          <t>C</t>
        </is>
      </c>
      <c r="C325" s="35" t="inlineStr">
        <is>
          <t>C;T</t>
        </is>
      </c>
      <c r="D325" s="35" t="inlineStr">
        <is>
          <t>Sassuolo</t>
        </is>
      </c>
      <c r="E325" s="50" t="n">
        <v>5</v>
      </c>
      <c r="F325" s="50" t="n">
        <v>16</v>
      </c>
    </row>
    <row r="326">
      <c r="A326" s="25" t="inlineStr">
        <is>
          <t>Berisha M.</t>
        </is>
      </c>
      <c r="B326" s="52" t="inlineStr">
        <is>
          <t>C</t>
        </is>
      </c>
      <c r="C326" s="35" t="inlineStr">
        <is>
          <t>C;T</t>
        </is>
      </c>
      <c r="D326" s="35" t="inlineStr">
        <is>
          <t>Lecce</t>
        </is>
      </c>
      <c r="E326" s="50" t="n">
        <v>5</v>
      </c>
      <c r="F326" s="50" t="n">
        <v>16</v>
      </c>
    </row>
    <row r="327">
      <c r="A327" s="25" t="inlineStr">
        <is>
          <t>Busio</t>
        </is>
      </c>
      <c r="B327" s="52" t="inlineStr">
        <is>
          <t>C</t>
        </is>
      </c>
      <c r="C327" s="35" t="inlineStr">
        <is>
          <t>M;C</t>
        </is>
      </c>
      <c r="D327" s="35" t="inlineStr">
        <is>
          <t>Venezia</t>
        </is>
      </c>
      <c r="E327" s="50" t="n">
        <v>5</v>
      </c>
      <c r="F327" s="50" t="n">
        <v>14</v>
      </c>
    </row>
    <row r="328">
      <c r="A328" s="25" t="inlineStr">
        <is>
          <t>Cacciamani</t>
        </is>
      </c>
      <c r="B328" s="52" t="inlineStr">
        <is>
          <t>C</t>
        </is>
      </c>
      <c r="C328" s="35" t="inlineStr">
        <is>
          <t>E;W</t>
        </is>
      </c>
      <c r="D328" s="35" t="inlineStr">
        <is>
          <t>Torino</t>
        </is>
      </c>
      <c r="E328" s="50" t="n">
        <v>5</v>
      </c>
      <c r="F328" s="50" t="n">
        <v>18</v>
      </c>
    </row>
    <row r="329">
      <c r="A329" s="25" t="inlineStr">
        <is>
          <t>Dele-Bashiru</t>
        </is>
      </c>
      <c r="B329" s="52" t="inlineStr">
        <is>
          <t>C</t>
        </is>
      </c>
      <c r="C329" s="35" t="inlineStr">
        <is>
          <t>C;T</t>
        </is>
      </c>
      <c r="D329" s="35" t="inlineStr">
        <is>
          <t>Lazio</t>
        </is>
      </c>
      <c r="E329" s="50" t="n">
        <v>5</v>
      </c>
      <c r="F329" s="50" t="n">
        <v>13</v>
      </c>
    </row>
    <row r="330">
      <c r="A330" s="25" t="inlineStr">
        <is>
          <t>Felici</t>
        </is>
      </c>
      <c r="B330" s="52" t="inlineStr">
        <is>
          <t>C</t>
        </is>
      </c>
      <c r="C330" s="35" t="inlineStr">
        <is>
          <t>W</t>
        </is>
      </c>
      <c r="D330" s="35" t="inlineStr">
        <is>
          <t>Cagliari</t>
        </is>
      </c>
      <c r="E330" s="50" t="n">
        <v>5</v>
      </c>
      <c r="F330" s="50" t="n">
        <v>10</v>
      </c>
    </row>
    <row r="331">
      <c r="A331" s="25" t="inlineStr">
        <is>
          <t>Fofana Y.</t>
        </is>
      </c>
      <c r="B331" s="52" t="inlineStr">
        <is>
          <t>C</t>
        </is>
      </c>
      <c r="C331" s="35" t="inlineStr">
        <is>
          <t>M;C</t>
        </is>
      </c>
      <c r="D331" s="35" t="inlineStr">
        <is>
          <t>Milan</t>
        </is>
      </c>
      <c r="E331" s="50" t="n">
        <v>5</v>
      </c>
      <c r="F331" s="50" t="n">
        <v>23</v>
      </c>
    </row>
    <row r="332">
      <c r="A332" s="25" t="inlineStr">
        <is>
          <t>Gandelman</t>
        </is>
      </c>
      <c r="B332" s="52" t="inlineStr">
        <is>
          <t>C</t>
        </is>
      </c>
      <c r="C332" s="35" t="inlineStr">
        <is>
          <t>C;T</t>
        </is>
      </c>
      <c r="D332" s="35" t="inlineStr">
        <is>
          <t>Lecce</t>
        </is>
      </c>
      <c r="E332" s="50" t="n">
        <v>5</v>
      </c>
      <c r="F332" s="50" t="n">
        <v>14</v>
      </c>
    </row>
    <row r="333">
      <c r="A333" s="25" t="inlineStr">
        <is>
          <t>Gineitis</t>
        </is>
      </c>
      <c r="B333" s="52" t="inlineStr">
        <is>
          <t>C</t>
        </is>
      </c>
      <c r="C333" s="35" t="inlineStr">
        <is>
          <t>M;C</t>
        </is>
      </c>
      <c r="D333" s="35" t="inlineStr">
        <is>
          <t>Torino</t>
        </is>
      </c>
      <c r="E333" s="50" t="n">
        <v>5</v>
      </c>
      <c r="F333" s="50" t="n">
        <v>13</v>
      </c>
    </row>
    <row r="334">
      <c r="A334" s="25" t="inlineStr">
        <is>
          <t>Keita M.</t>
        </is>
      </c>
      <c r="B334" s="52" t="inlineStr">
        <is>
          <t>C</t>
        </is>
      </c>
      <c r="C334" s="35" t="inlineStr">
        <is>
          <t>M;C</t>
        </is>
      </c>
      <c r="D334" s="35" t="inlineStr">
        <is>
          <t>Parma</t>
        </is>
      </c>
      <c r="E334" s="50" t="n">
        <v>5</v>
      </c>
      <c r="F334" s="50" t="n">
        <v>15</v>
      </c>
    </row>
    <row r="335">
      <c r="A335" s="25" t="inlineStr">
        <is>
          <t>Koopmeiners</t>
        </is>
      </c>
      <c r="B335" s="52" t="inlineStr">
        <is>
          <t>C</t>
        </is>
      </c>
      <c r="C335" s="35" t="inlineStr">
        <is>
          <t>C;T</t>
        </is>
      </c>
      <c r="D335" s="35" t="inlineStr">
        <is>
          <t>Juventus</t>
        </is>
      </c>
      <c r="E335" s="50" t="n">
        <v>5</v>
      </c>
      <c r="F335" s="50" t="n">
        <v>14</v>
      </c>
    </row>
    <row r="336">
      <c r="A336" s="25" t="inlineStr">
        <is>
          <t>Matic</t>
        </is>
      </c>
      <c r="B336" s="52" t="inlineStr">
        <is>
          <t>C</t>
        </is>
      </c>
      <c r="C336" s="35" t="inlineStr">
        <is>
          <t>M;C</t>
        </is>
      </c>
      <c r="D336" s="35" t="inlineStr">
        <is>
          <t>Sassuolo</t>
        </is>
      </c>
      <c r="E336" s="50" t="n">
        <v>5</v>
      </c>
      <c r="F336" s="50" t="n">
        <v>15</v>
      </c>
    </row>
    <row r="337">
      <c r="A337" s="25" t="inlineStr">
        <is>
          <t>Meichtry</t>
        </is>
      </c>
      <c r="B337" s="52" t="inlineStr">
        <is>
          <t>C</t>
        </is>
      </c>
      <c r="C337" s="35" t="inlineStr">
        <is>
          <t>W;T</t>
        </is>
      </c>
      <c r="D337" s="35" t="inlineStr">
        <is>
          <t>Genoa</t>
        </is>
      </c>
      <c r="E337" s="50" t="n">
        <v>5</v>
      </c>
      <c r="F337" s="50" t="n">
        <v>14</v>
      </c>
    </row>
    <row r="338">
      <c r="A338" s="25" t="inlineStr">
        <is>
          <t>Milla</t>
        </is>
      </c>
      <c r="B338" s="52" t="inlineStr">
        <is>
          <t>C</t>
        </is>
      </c>
      <c r="C338" s="35" t="inlineStr">
        <is>
          <t>M;C</t>
        </is>
      </c>
      <c r="D338" s="35" t="inlineStr">
        <is>
          <t>Como</t>
        </is>
      </c>
      <c r="E338" s="50" t="n">
        <v>5</v>
      </c>
      <c r="F338" s="50" t="n">
        <v>14</v>
      </c>
    </row>
    <row r="339">
      <c r="A339" s="25" t="inlineStr">
        <is>
          <t>Mkhitaryan</t>
        </is>
      </c>
      <c r="B339" s="52" t="inlineStr">
        <is>
          <t>C</t>
        </is>
      </c>
      <c r="C339" s="35" t="inlineStr">
        <is>
          <t>C</t>
        </is>
      </c>
      <c r="D339" s="35" t="inlineStr">
        <is>
          <t>Inter</t>
        </is>
      </c>
      <c r="E339" s="50" t="n">
        <v>5</v>
      </c>
      <c r="F339" s="50" t="n">
        <v>19</v>
      </c>
    </row>
    <row r="340">
      <c r="A340" s="25" t="inlineStr">
        <is>
          <t>Ondrejka</t>
        </is>
      </c>
      <c r="B340" s="52" t="inlineStr">
        <is>
          <t>C</t>
        </is>
      </c>
      <c r="C340" s="35" t="inlineStr">
        <is>
          <t>W;A</t>
        </is>
      </c>
      <c r="D340" s="35" t="inlineStr">
        <is>
          <t>Parma</t>
        </is>
      </c>
      <c r="E340" s="50" t="n">
        <v>5</v>
      </c>
      <c r="F340" s="50" t="n">
        <v>18</v>
      </c>
    </row>
    <row r="341">
      <c r="A341" s="25" t="inlineStr">
        <is>
          <t>Perez K.</t>
        </is>
      </c>
      <c r="B341" s="52" t="inlineStr">
        <is>
          <t>C</t>
        </is>
      </c>
      <c r="C341" s="35" t="inlineStr">
        <is>
          <t>C;T</t>
        </is>
      </c>
      <c r="D341" s="35" t="inlineStr">
        <is>
          <t>Venezia</t>
        </is>
      </c>
      <c r="E341" s="50" t="n">
        <v>5</v>
      </c>
      <c r="F341" s="50" t="n">
        <v>14</v>
      </c>
    </row>
    <row r="342">
      <c r="A342" s="25" t="inlineStr">
        <is>
          <t>Piotrowski</t>
        </is>
      </c>
      <c r="B342" s="52" t="inlineStr">
        <is>
          <t>C</t>
        </is>
      </c>
      <c r="C342" s="35" t="inlineStr">
        <is>
          <t>M;C</t>
        </is>
      </c>
      <c r="D342" s="35" t="inlineStr">
        <is>
          <t>Udinese</t>
        </is>
      </c>
      <c r="E342" s="50" t="n">
        <v>5</v>
      </c>
      <c r="F342" s="50" t="n">
        <v>15</v>
      </c>
    </row>
    <row r="343">
      <c r="A343" s="25" t="inlineStr">
        <is>
          <t>Pisilli</t>
        </is>
      </c>
      <c r="B343" s="52" t="inlineStr">
        <is>
          <t>C</t>
        </is>
      </c>
      <c r="C343" s="35" t="inlineStr">
        <is>
          <t>C</t>
        </is>
      </c>
      <c r="D343" s="35" t="inlineStr">
        <is>
          <t>Roma</t>
        </is>
      </c>
      <c r="E343" s="50" t="n">
        <v>5</v>
      </c>
      <c r="F343" s="50" t="n">
        <v>17</v>
      </c>
    </row>
    <row r="344">
      <c r="A344" s="25" t="inlineStr">
        <is>
          <t>Romano</t>
        </is>
      </c>
      <c r="B344" s="52" t="inlineStr">
        <is>
          <t>C</t>
        </is>
      </c>
      <c r="C344" s="35" t="inlineStr">
        <is>
          <t>M;C</t>
        </is>
      </c>
      <c r="D344" s="35" t="inlineStr">
        <is>
          <t>Cagliari</t>
        </is>
      </c>
      <c r="E344" s="50" t="n">
        <v>5</v>
      </c>
      <c r="F344" s="50" t="n">
        <v>12</v>
      </c>
    </row>
    <row r="345">
      <c r="A345" s="25" t="inlineStr">
        <is>
          <t>Sohm</t>
        </is>
      </c>
      <c r="B345" s="52" t="inlineStr">
        <is>
          <t>C</t>
        </is>
      </c>
      <c r="C345" s="35" t="inlineStr">
        <is>
          <t>C</t>
        </is>
      </c>
      <c r="D345" s="35" t="inlineStr">
        <is>
          <t>Venezia</t>
        </is>
      </c>
      <c r="E345" s="50" t="n">
        <v>5</v>
      </c>
      <c r="F345" s="50" t="n">
        <v>14</v>
      </c>
    </row>
    <row r="346">
      <c r="A346" s="25" t="inlineStr">
        <is>
          <t>Traorè Hj.</t>
        </is>
      </c>
      <c r="B346" s="52" t="inlineStr">
        <is>
          <t>C</t>
        </is>
      </c>
      <c r="C346" s="35" t="inlineStr">
        <is>
          <t>W;T</t>
        </is>
      </c>
      <c r="D346" s="35" t="inlineStr">
        <is>
          <t>Genoa</t>
        </is>
      </c>
      <c r="E346" s="50" t="n">
        <v>5</v>
      </c>
      <c r="F346" s="50" t="n">
        <v>11</v>
      </c>
    </row>
    <row r="347">
      <c r="A347" s="25" t="inlineStr">
        <is>
          <t>Zerbin</t>
        </is>
      </c>
      <c r="B347" s="52" t="inlineStr">
        <is>
          <t>C</t>
        </is>
      </c>
      <c r="C347" s="35" t="inlineStr">
        <is>
          <t>W</t>
        </is>
      </c>
      <c r="D347" s="35" t="inlineStr">
        <is>
          <t>Frosinone</t>
        </is>
      </c>
      <c r="E347" s="50" t="n">
        <v>5</v>
      </c>
      <c r="F347" s="50" t="n">
        <v>13</v>
      </c>
    </row>
    <row r="348">
      <c r="A348" s="25" t="inlineStr">
        <is>
          <t>Almqvist</t>
        </is>
      </c>
      <c r="B348" s="52" t="inlineStr">
        <is>
          <t>C</t>
        </is>
      </c>
      <c r="C348" s="35" t="inlineStr">
        <is>
          <t>W;A</t>
        </is>
      </c>
      <c r="D348" s="35" t="inlineStr">
        <is>
          <t>Parma</t>
        </is>
      </c>
      <c r="E348" s="50" t="n">
        <v>4</v>
      </c>
      <c r="F348" s="50" t="n">
        <v>14</v>
      </c>
    </row>
    <row r="349">
      <c r="A349" s="25" t="inlineStr">
        <is>
          <t>Amorim</t>
        </is>
      </c>
      <c r="B349" s="52" t="inlineStr">
        <is>
          <t>C</t>
        </is>
      </c>
      <c r="C349" s="35" t="inlineStr">
        <is>
          <t>M;C</t>
        </is>
      </c>
      <c r="D349" s="35" t="inlineStr">
        <is>
          <t>Genoa</t>
        </is>
      </c>
      <c r="E349" s="50" t="n">
        <v>4</v>
      </c>
      <c r="F349" s="50" t="n">
        <v>11</v>
      </c>
    </row>
    <row r="350">
      <c r="A350" s="25" t="inlineStr">
        <is>
          <t>Cataldi</t>
        </is>
      </c>
      <c r="B350" s="52" t="inlineStr">
        <is>
          <t>C</t>
        </is>
      </c>
      <c r="C350" s="35" t="inlineStr">
        <is>
          <t>M;C</t>
        </is>
      </c>
      <c r="D350" s="35" t="inlineStr">
        <is>
          <t>Lazio</t>
        </is>
      </c>
      <c r="E350" s="50" t="n">
        <v>4</v>
      </c>
      <c r="F350" s="50" t="n">
        <v>12</v>
      </c>
    </row>
    <row r="351">
      <c r="A351" s="25" t="inlineStr">
        <is>
          <t>Cichella</t>
        </is>
      </c>
      <c r="B351" s="52" t="inlineStr">
        <is>
          <t>C</t>
        </is>
      </c>
      <c r="C351" s="35" t="inlineStr">
        <is>
          <t>M;C</t>
        </is>
      </c>
      <c r="D351" s="35" t="inlineStr">
        <is>
          <t>Frosinone</t>
        </is>
      </c>
      <c r="E351" s="50" t="n">
        <v>4</v>
      </c>
      <c r="F351" s="50" t="n">
        <v>11</v>
      </c>
    </row>
    <row r="352">
      <c r="A352" s="25" t="inlineStr">
        <is>
          <t>De Roon</t>
        </is>
      </c>
      <c r="B352" s="52" t="inlineStr">
        <is>
          <t>C</t>
        </is>
      </c>
      <c r="C352" s="35" t="inlineStr">
        <is>
          <t>M;C</t>
        </is>
      </c>
      <c r="D352" s="35" t="inlineStr">
        <is>
          <t>Atalanta</t>
        </is>
      </c>
      <c r="E352" s="50" t="n">
        <v>4</v>
      </c>
      <c r="F352" s="50" t="n">
        <v>12</v>
      </c>
    </row>
    <row r="353">
      <c r="A353" s="25" t="inlineStr">
        <is>
          <t>Douglas Luiz</t>
        </is>
      </c>
      <c r="B353" s="52" t="inlineStr">
        <is>
          <t>C</t>
        </is>
      </c>
      <c r="C353" s="35" t="inlineStr">
        <is>
          <t>C</t>
        </is>
      </c>
      <c r="D353" s="35" t="inlineStr">
        <is>
          <t>Juventus</t>
        </is>
      </c>
      <c r="E353" s="50" t="n">
        <v>4</v>
      </c>
      <c r="F353" s="50" t="n">
        <v>12</v>
      </c>
    </row>
    <row r="354">
      <c r="A354" s="25" t="inlineStr">
        <is>
          <t>El Aynaoui</t>
        </is>
      </c>
      <c r="B354" s="52" t="inlineStr">
        <is>
          <t>C</t>
        </is>
      </c>
      <c r="C354" s="35" t="inlineStr">
        <is>
          <t>M;C</t>
        </is>
      </c>
      <c r="D354" s="35" t="inlineStr">
        <is>
          <t>Roma</t>
        </is>
      </c>
      <c r="E354" s="50" t="n">
        <v>4</v>
      </c>
      <c r="F354" s="50" t="n">
        <v>18</v>
      </c>
    </row>
    <row r="355">
      <c r="A355" s="25" t="inlineStr">
        <is>
          <t>Fabbian</t>
        </is>
      </c>
      <c r="B355" s="52" t="inlineStr">
        <is>
          <t>C</t>
        </is>
      </c>
      <c r="C355" s="35" t="inlineStr">
        <is>
          <t>C;T</t>
        </is>
      </c>
      <c r="D355" s="35" t="inlineStr">
        <is>
          <t>Fiorentina</t>
        </is>
      </c>
      <c r="E355" s="50" t="n">
        <v>4</v>
      </c>
      <c r="F355" s="50" t="n">
        <v>8</v>
      </c>
    </row>
    <row r="356">
      <c r="A356" s="25" t="inlineStr">
        <is>
          <t>Fitz-Jim</t>
        </is>
      </c>
      <c r="B356" s="52" t="inlineStr">
        <is>
          <t>C</t>
        </is>
      </c>
      <c r="C356" s="35" t="inlineStr">
        <is>
          <t>M;C</t>
        </is>
      </c>
      <c r="D356" s="35" t="inlineStr">
        <is>
          <t>Torino</t>
        </is>
      </c>
      <c r="E356" s="50" t="n">
        <v>4</v>
      </c>
      <c r="F356" s="50" t="n">
        <v>13</v>
      </c>
    </row>
    <row r="357">
      <c r="A357" s="25" t="inlineStr">
        <is>
          <t>Folorunsho</t>
        </is>
      </c>
      <c r="B357" s="52" t="inlineStr">
        <is>
          <t>C</t>
        </is>
      </c>
      <c r="C357" s="35" t="inlineStr">
        <is>
          <t>C;T</t>
        </is>
      </c>
      <c r="D357" s="35" t="inlineStr">
        <is>
          <t>Napoli</t>
        </is>
      </c>
      <c r="E357" s="50" t="n">
        <v>4</v>
      </c>
      <c r="F357" s="50" t="n">
        <v>10</v>
      </c>
    </row>
    <row r="358">
      <c r="A358" s="25" t="inlineStr">
        <is>
          <t>Ilkhan</t>
        </is>
      </c>
      <c r="B358" s="52" t="inlineStr">
        <is>
          <t>C</t>
        </is>
      </c>
      <c r="C358" s="35" t="inlineStr">
        <is>
          <t>M;C</t>
        </is>
      </c>
      <c r="D358" s="35" t="inlineStr">
        <is>
          <t>Torino</t>
        </is>
      </c>
      <c r="E358" s="50" t="n">
        <v>4</v>
      </c>
      <c r="F358" s="50" t="n">
        <v>10</v>
      </c>
    </row>
    <row r="359">
      <c r="A359" s="25" t="inlineStr">
        <is>
          <t>Jashari</t>
        </is>
      </c>
      <c r="B359" s="52" t="inlineStr">
        <is>
          <t>C</t>
        </is>
      </c>
      <c r="C359" s="35" t="inlineStr">
        <is>
          <t>C</t>
        </is>
      </c>
      <c r="D359" s="35" t="inlineStr">
        <is>
          <t>Milan</t>
        </is>
      </c>
      <c r="E359" s="50" t="n">
        <v>4</v>
      </c>
      <c r="F359" s="50" t="n">
        <v>11</v>
      </c>
    </row>
    <row r="360">
      <c r="A360" s="25" t="inlineStr">
        <is>
          <t>Koutsoupias</t>
        </is>
      </c>
      <c r="B360" s="52" t="inlineStr">
        <is>
          <t>C</t>
        </is>
      </c>
      <c r="C360" s="35" t="inlineStr">
        <is>
          <t>C</t>
        </is>
      </c>
      <c r="D360" s="35" t="inlineStr">
        <is>
          <t>Frosinone</t>
        </is>
      </c>
      <c r="E360" s="50" t="n">
        <v>4</v>
      </c>
      <c r="F360" s="50" t="n">
        <v>12</v>
      </c>
    </row>
    <row r="361">
      <c r="A361" s="25" t="inlineStr">
        <is>
          <t>Loftus-Cheek</t>
        </is>
      </c>
      <c r="B361" s="52" t="inlineStr">
        <is>
          <t>C</t>
        </is>
      </c>
      <c r="C361" s="35" t="inlineStr">
        <is>
          <t>C;T</t>
        </is>
      </c>
      <c r="D361" s="35" t="inlineStr">
        <is>
          <t>Milan</t>
        </is>
      </c>
      <c r="E361" s="50" t="n">
        <v>4</v>
      </c>
      <c r="F361" s="50" t="n">
        <v>11</v>
      </c>
    </row>
    <row r="362">
      <c r="A362" s="25" t="inlineStr">
        <is>
          <t>Luis Henrique</t>
        </is>
      </c>
      <c r="B362" s="52" t="inlineStr">
        <is>
          <t>C</t>
        </is>
      </c>
      <c r="C362" s="35" t="inlineStr">
        <is>
          <t>E;W</t>
        </is>
      </c>
      <c r="D362" s="35" t="inlineStr">
        <is>
          <t>Inter</t>
        </is>
      </c>
      <c r="E362" s="50" t="n">
        <v>4</v>
      </c>
      <c r="F362" s="50" t="n">
        <v>13</v>
      </c>
    </row>
    <row r="363">
      <c r="A363" s="25" t="inlineStr">
        <is>
          <t>Moro N.</t>
        </is>
      </c>
      <c r="B363" s="52" t="inlineStr">
        <is>
          <t>C</t>
        </is>
      </c>
      <c r="C363" s="35" t="inlineStr">
        <is>
          <t>M;C</t>
        </is>
      </c>
      <c r="D363" s="35" t="inlineStr">
        <is>
          <t>Bologna</t>
        </is>
      </c>
      <c r="E363" s="50" t="n">
        <v>4</v>
      </c>
      <c r="F363" s="50" t="n">
        <v>10</v>
      </c>
    </row>
    <row r="364">
      <c r="A364" s="25" t="inlineStr">
        <is>
          <t>Ngom</t>
        </is>
      </c>
      <c r="B364" s="52" t="inlineStr">
        <is>
          <t>C</t>
        </is>
      </c>
      <c r="C364" s="35" t="inlineStr">
        <is>
          <t>M;C</t>
        </is>
      </c>
      <c r="D364" s="35" t="inlineStr">
        <is>
          <t>Lecce</t>
        </is>
      </c>
      <c r="E364" s="50" t="n">
        <v>4</v>
      </c>
      <c r="F364" s="50" t="n">
        <v>11</v>
      </c>
    </row>
    <row r="365">
      <c r="A365" s="25" t="inlineStr">
        <is>
          <t>Njie</t>
        </is>
      </c>
      <c r="B365" s="52" t="inlineStr">
        <is>
          <t>C</t>
        </is>
      </c>
      <c r="C365" s="35" t="inlineStr">
        <is>
          <t>W;A</t>
        </is>
      </c>
      <c r="D365" s="35" t="inlineStr">
        <is>
          <t>Torino</t>
        </is>
      </c>
      <c r="E365" s="50" t="n">
        <v>4</v>
      </c>
      <c r="F365" s="50" t="n">
        <v>12</v>
      </c>
    </row>
    <row r="366">
      <c r="A366" s="25" t="inlineStr">
        <is>
          <t>Prati</t>
        </is>
      </c>
      <c r="B366" s="52" t="inlineStr">
        <is>
          <t>C</t>
        </is>
      </c>
      <c r="C366" s="35" t="inlineStr">
        <is>
          <t>M;C</t>
        </is>
      </c>
      <c r="D366" s="35" t="inlineStr">
        <is>
          <t>Cagliari</t>
        </is>
      </c>
      <c r="E366" s="50" t="n">
        <v>4</v>
      </c>
      <c r="F366" s="50" t="n">
        <v>7</v>
      </c>
    </row>
    <row r="367">
      <c r="A367" s="25" t="inlineStr">
        <is>
          <t>Ricci S.</t>
        </is>
      </c>
      <c r="B367" s="52" t="inlineStr">
        <is>
          <t>C</t>
        </is>
      </c>
      <c r="C367" s="35" t="inlineStr">
        <is>
          <t>M;C</t>
        </is>
      </c>
      <c r="D367" s="35" t="inlineStr">
        <is>
          <t>Milan</t>
        </is>
      </c>
      <c r="E367" s="50" t="n">
        <v>4</v>
      </c>
      <c r="F367" s="50" t="n">
        <v>11</v>
      </c>
    </row>
    <row r="368">
      <c r="A368" s="25" t="inlineStr">
        <is>
          <t>Aboukhlal</t>
        </is>
      </c>
      <c r="B368" s="52" t="inlineStr">
        <is>
          <t>C</t>
        </is>
      </c>
      <c r="C368" s="35" t="inlineStr">
        <is>
          <t>W;A</t>
        </is>
      </c>
      <c r="D368" s="35" t="inlineStr">
        <is>
          <t>Torino</t>
        </is>
      </c>
      <c r="E368" s="50" t="n">
        <v>3</v>
      </c>
      <c r="F368" s="50" t="n">
        <v>5</v>
      </c>
    </row>
    <row r="369">
      <c r="A369" s="25" t="inlineStr">
        <is>
          <t>Brescianini</t>
        </is>
      </c>
      <c r="B369" s="52" t="inlineStr">
        <is>
          <t>C</t>
        </is>
      </c>
      <c r="C369" s="35" t="inlineStr">
        <is>
          <t>C;T</t>
        </is>
      </c>
      <c r="D369" s="35" t="inlineStr">
        <is>
          <t>Fiorentina</t>
        </is>
      </c>
      <c r="E369" s="50" t="n">
        <v>3</v>
      </c>
      <c r="F369" s="50" t="n">
        <v>7</v>
      </c>
    </row>
    <row r="370">
      <c r="A370" s="25" t="inlineStr">
        <is>
          <t>Colombo L.</t>
        </is>
      </c>
      <c r="B370" s="52" t="inlineStr">
        <is>
          <t>C</t>
        </is>
      </c>
      <c r="C370" s="35" t="inlineStr">
        <is>
          <t>M;C</t>
        </is>
      </c>
      <c r="D370" s="35" t="inlineStr">
        <is>
          <t>Monza</t>
        </is>
      </c>
      <c r="E370" s="50" t="n">
        <v>3</v>
      </c>
      <c r="F370" s="50" t="n">
        <v>7</v>
      </c>
    </row>
    <row r="371">
      <c r="A371" s="25" t="inlineStr">
        <is>
          <t>Deiola</t>
        </is>
      </c>
      <c r="B371" s="52" t="inlineStr">
        <is>
          <t>C</t>
        </is>
      </c>
      <c r="C371" s="35" t="inlineStr">
        <is>
          <t>M;C</t>
        </is>
      </c>
      <c r="D371" s="35" t="inlineStr">
        <is>
          <t>Cagliari</t>
        </is>
      </c>
      <c r="E371" s="50" t="n">
        <v>3</v>
      </c>
      <c r="F371" s="50" t="n">
        <v>8</v>
      </c>
    </row>
    <row r="372">
      <c r="A372" s="25" t="inlineStr">
        <is>
          <t>Diallo O.</t>
        </is>
      </c>
      <c r="B372" s="52" t="inlineStr">
        <is>
          <t>C</t>
        </is>
      </c>
      <c r="C372" s="35" t="inlineStr">
        <is>
          <t>W;A</t>
        </is>
      </c>
      <c r="D372" s="35" t="inlineStr">
        <is>
          <t>Parma</t>
        </is>
      </c>
      <c r="E372" s="50" t="n">
        <v>3</v>
      </c>
      <c r="F372" s="50" t="n">
        <v>12</v>
      </c>
    </row>
    <row r="373">
      <c r="A373" s="25" t="inlineStr">
        <is>
          <t>Dominguez B.</t>
        </is>
      </c>
      <c r="B373" s="52" t="inlineStr">
        <is>
          <t>C</t>
        </is>
      </c>
      <c r="C373" s="35" t="inlineStr">
        <is>
          <t>W;A</t>
        </is>
      </c>
      <c r="D373" s="35" t="inlineStr">
        <is>
          <t>Bologna</t>
        </is>
      </c>
      <c r="E373" s="50" t="n">
        <v>3</v>
      </c>
      <c r="F373" s="50" t="n">
        <v>8</v>
      </c>
    </row>
    <row r="374">
      <c r="A374" s="25" t="inlineStr">
        <is>
          <t xml:space="preserve">Fini </t>
        </is>
      </c>
      <c r="B374" s="52" t="inlineStr">
        <is>
          <t>C</t>
        </is>
      </c>
      <c r="C374" s="35" t="inlineStr">
        <is>
          <t>W</t>
        </is>
      </c>
      <c r="D374" s="35" t="inlineStr">
        <is>
          <t>Frosinone</t>
        </is>
      </c>
      <c r="E374" s="50" t="n">
        <v>3</v>
      </c>
      <c r="F374" s="50" t="n">
        <v>9</v>
      </c>
    </row>
    <row r="375">
      <c r="A375" s="25" t="inlineStr">
        <is>
          <t>Gelli F.</t>
        </is>
      </c>
      <c r="B375" s="52" t="inlineStr">
        <is>
          <t>C</t>
        </is>
      </c>
      <c r="C375" s="35" t="inlineStr">
        <is>
          <t>C;T</t>
        </is>
      </c>
      <c r="D375" s="35" t="inlineStr">
        <is>
          <t>Frosinone</t>
        </is>
      </c>
      <c r="E375" s="50" t="n">
        <v>3</v>
      </c>
      <c r="F375" s="50" t="n">
        <v>8</v>
      </c>
    </row>
    <row r="376">
      <c r="A376" s="25" t="inlineStr">
        <is>
          <t>Gilmour</t>
        </is>
      </c>
      <c r="B376" s="52" t="inlineStr">
        <is>
          <t>C</t>
        </is>
      </c>
      <c r="C376" s="35" t="inlineStr">
        <is>
          <t>M;C</t>
        </is>
      </c>
      <c r="D376" s="35" t="inlineStr">
        <is>
          <t>Napoli</t>
        </is>
      </c>
      <c r="E376" s="50" t="n">
        <v>3</v>
      </c>
      <c r="F376" s="50" t="n">
        <v>9</v>
      </c>
    </row>
    <row r="377">
      <c r="A377" s="25" t="inlineStr">
        <is>
          <t>Helgason</t>
        </is>
      </c>
      <c r="B377" s="52" t="inlineStr">
        <is>
          <t>C</t>
        </is>
      </c>
      <c r="C377" s="35" t="inlineStr">
        <is>
          <t>C;T</t>
        </is>
      </c>
      <c r="D377" s="35" t="inlineStr">
        <is>
          <t>Venezia</t>
        </is>
      </c>
      <c r="E377" s="50" t="n">
        <v>3</v>
      </c>
      <c r="F377" s="50" t="n">
        <v>7</v>
      </c>
    </row>
    <row r="378">
      <c r="A378" s="25" t="inlineStr">
        <is>
          <t>Messias</t>
        </is>
      </c>
      <c r="B378" s="52" t="inlineStr">
        <is>
          <t>C</t>
        </is>
      </c>
      <c r="C378" s="35" t="inlineStr">
        <is>
          <t>W;T</t>
        </is>
      </c>
      <c r="D378" s="35" t="inlineStr">
        <is>
          <t>Genoa</t>
        </is>
      </c>
      <c r="E378" s="50" t="n">
        <v>3</v>
      </c>
      <c r="F378" s="50" t="n">
        <v>8</v>
      </c>
    </row>
    <row r="379">
      <c r="A379" s="25" t="inlineStr">
        <is>
          <t>Miller L.</t>
        </is>
      </c>
      <c r="B379" s="52" t="inlineStr">
        <is>
          <t>C</t>
        </is>
      </c>
      <c r="C379" s="35" t="inlineStr">
        <is>
          <t>M;C</t>
        </is>
      </c>
      <c r="D379" s="35" t="inlineStr">
        <is>
          <t>Udinese</t>
        </is>
      </c>
      <c r="E379" s="50" t="n">
        <v>3</v>
      </c>
      <c r="F379" s="50" t="n">
        <v>12</v>
      </c>
    </row>
    <row r="380">
      <c r="A380" s="25" t="inlineStr">
        <is>
          <t>Miretti</t>
        </is>
      </c>
      <c r="B380" s="52" t="inlineStr">
        <is>
          <t>C</t>
        </is>
      </c>
      <c r="C380" s="35" t="inlineStr">
        <is>
          <t>C;T</t>
        </is>
      </c>
      <c r="D380" s="35" t="inlineStr">
        <is>
          <t>Juventus</t>
        </is>
      </c>
      <c r="E380" s="50" t="n">
        <v>3</v>
      </c>
      <c r="F380" s="50" t="n">
        <v>11</v>
      </c>
    </row>
    <row r="381">
      <c r="A381" s="25" t="inlineStr">
        <is>
          <t>Sorensen O.</t>
        </is>
      </c>
      <c r="B381" s="52" t="inlineStr">
        <is>
          <t>C</t>
        </is>
      </c>
      <c r="C381" s="35" t="inlineStr">
        <is>
          <t>C</t>
        </is>
      </c>
      <c r="D381" s="35" t="inlineStr">
        <is>
          <t>Parma</t>
        </is>
      </c>
      <c r="E381" s="50" t="n">
        <v>3</v>
      </c>
      <c r="F381" s="50" t="n">
        <v>12</v>
      </c>
    </row>
    <row r="382">
      <c r="A382" s="25" t="inlineStr">
        <is>
          <t>Stankovic A.</t>
        </is>
      </c>
      <c r="B382" s="52" t="inlineStr">
        <is>
          <t>C</t>
        </is>
      </c>
      <c r="C382" s="35" t="inlineStr">
        <is>
          <t>M;C</t>
        </is>
      </c>
      <c r="D382" s="35" t="inlineStr">
        <is>
          <t>Inter</t>
        </is>
      </c>
      <c r="E382" s="50" t="n">
        <v>3</v>
      </c>
      <c r="F382" s="50" t="n">
        <v>10</v>
      </c>
    </row>
    <row r="383">
      <c r="A383" s="25" t="inlineStr">
        <is>
          <t>Sulemana I.</t>
        </is>
      </c>
      <c r="B383" s="52" t="inlineStr">
        <is>
          <t>C</t>
        </is>
      </c>
      <c r="C383" s="35" t="inlineStr">
        <is>
          <t>M;C</t>
        </is>
      </c>
      <c r="D383" s="35" t="inlineStr">
        <is>
          <t>Atalanta</t>
        </is>
      </c>
      <c r="E383" s="50" t="n">
        <v>3</v>
      </c>
      <c r="F383" s="50" t="n">
        <v>7</v>
      </c>
    </row>
    <row r="384">
      <c r="A384" s="25" t="inlineStr">
        <is>
          <t>Boloca</t>
        </is>
      </c>
      <c r="B384" s="52" t="inlineStr">
        <is>
          <t>C</t>
        </is>
      </c>
      <c r="C384" s="35" t="inlineStr">
        <is>
          <t>M;C</t>
        </is>
      </c>
      <c r="D384" s="35" t="inlineStr">
        <is>
          <t>Sassuolo</t>
        </is>
      </c>
      <c r="E384" s="50" t="n">
        <v>2</v>
      </c>
      <c r="F384" s="50" t="n">
        <v>5</v>
      </c>
    </row>
    <row r="385">
      <c r="A385" s="25" t="inlineStr">
        <is>
          <t>Chakvetadze</t>
        </is>
      </c>
      <c r="B385" s="52" t="inlineStr">
        <is>
          <t>C</t>
        </is>
      </c>
      <c r="C385" s="35" t="inlineStr">
        <is>
          <t>W;T</t>
        </is>
      </c>
      <c r="D385" s="35" t="inlineStr">
        <is>
          <t>Udinese</t>
        </is>
      </c>
      <c r="E385" s="50" t="n">
        <v>2</v>
      </c>
      <c r="F385" s="50" t="n">
        <v>6</v>
      </c>
    </row>
    <row r="386">
      <c r="A386" s="25" t="inlineStr">
        <is>
          <t>Ciurria</t>
        </is>
      </c>
      <c r="B386" s="52" t="inlineStr">
        <is>
          <t>C</t>
        </is>
      </c>
      <c r="C386" s="35" t="inlineStr">
        <is>
          <t>E;W</t>
        </is>
      </c>
      <c r="D386" s="35" t="inlineStr">
        <is>
          <t>Monza</t>
        </is>
      </c>
      <c r="E386" s="50" t="n">
        <v>2</v>
      </c>
      <c r="F386" s="50" t="n">
        <v>6</v>
      </c>
    </row>
    <row r="387">
      <c r="A387" s="25" t="inlineStr">
        <is>
          <t>Duncan</t>
        </is>
      </c>
      <c r="B387" s="52" t="inlineStr">
        <is>
          <t>C</t>
        </is>
      </c>
      <c r="C387" s="35" t="inlineStr">
        <is>
          <t>C</t>
        </is>
      </c>
      <c r="D387" s="35" t="inlineStr">
        <is>
          <t>Venezia</t>
        </is>
      </c>
      <c r="E387" s="50" t="n">
        <v>2</v>
      </c>
      <c r="F387" s="50" t="n">
        <v>4</v>
      </c>
    </row>
    <row r="388">
      <c r="A388" s="25" t="inlineStr">
        <is>
          <t>El Azzouzi O.</t>
        </is>
      </c>
      <c r="B388" s="52" t="inlineStr">
        <is>
          <t>C</t>
        </is>
      </c>
      <c r="C388" s="35" t="inlineStr">
        <is>
          <t>M;C</t>
        </is>
      </c>
      <c r="D388" s="35" t="inlineStr">
        <is>
          <t>Bologna</t>
        </is>
      </c>
      <c r="E388" s="50" t="n">
        <v>2</v>
      </c>
      <c r="F388" s="50" t="n">
        <v>4</v>
      </c>
    </row>
    <row r="389">
      <c r="A389" s="25" t="inlineStr">
        <is>
          <t>Fadera</t>
        </is>
      </c>
      <c r="B389" s="52" t="inlineStr">
        <is>
          <t>C</t>
        </is>
      </c>
      <c r="C389" s="35" t="inlineStr">
        <is>
          <t>W</t>
        </is>
      </c>
      <c r="D389" s="35" t="inlineStr">
        <is>
          <t>Como</t>
        </is>
      </c>
      <c r="E389" s="50" t="n">
        <v>2</v>
      </c>
      <c r="F389" s="50" t="n">
        <v>3</v>
      </c>
    </row>
    <row r="390">
      <c r="A390" s="25" t="inlineStr">
        <is>
          <t>Hasa</t>
        </is>
      </c>
      <c r="B390" s="52" t="inlineStr">
        <is>
          <t>C</t>
        </is>
      </c>
      <c r="C390" s="35" t="inlineStr">
        <is>
          <t>C;T</t>
        </is>
      </c>
      <c r="D390" s="35" t="inlineStr">
        <is>
          <t>Frosinone</t>
        </is>
      </c>
      <c r="E390" s="50" t="n">
        <v>2</v>
      </c>
      <c r="F390" s="50" t="n">
        <v>5</v>
      </c>
    </row>
    <row r="391">
      <c r="A391" s="25" t="inlineStr">
        <is>
          <t>Lipani</t>
        </is>
      </c>
      <c r="B391" s="52" t="inlineStr">
        <is>
          <t>C</t>
        </is>
      </c>
      <c r="C391" s="35" t="inlineStr">
        <is>
          <t>M;C</t>
        </is>
      </c>
      <c r="D391" s="35" t="inlineStr">
        <is>
          <t>Sassuolo</t>
        </is>
      </c>
      <c r="E391" s="50" t="n">
        <v>2</v>
      </c>
      <c r="F391" s="50" t="n">
        <v>5</v>
      </c>
    </row>
    <row r="392">
      <c r="A392" s="25" t="inlineStr">
        <is>
          <t>Maleh</t>
        </is>
      </c>
      <c r="B392" s="52" t="inlineStr">
        <is>
          <t>C</t>
        </is>
      </c>
      <c r="C392" s="35" t="inlineStr">
        <is>
          <t>M;C</t>
        </is>
      </c>
      <c r="D392" s="35" t="inlineStr">
        <is>
          <t>Lecce</t>
        </is>
      </c>
      <c r="E392" s="50" t="n">
        <v>2</v>
      </c>
      <c r="F392" s="50" t="n">
        <v>5</v>
      </c>
    </row>
    <row r="393">
      <c r="A393" s="25" t="inlineStr">
        <is>
          <t>Masini</t>
        </is>
      </c>
      <c r="B393" s="52" t="inlineStr">
        <is>
          <t>C</t>
        </is>
      </c>
      <c r="C393" s="35" t="inlineStr">
        <is>
          <t>M;C</t>
        </is>
      </c>
      <c r="D393" s="35" t="inlineStr">
        <is>
          <t>Frosinone</t>
        </is>
      </c>
      <c r="E393" s="50" t="n">
        <v>2</v>
      </c>
      <c r="F393" s="50" t="n">
        <v>4</v>
      </c>
    </row>
    <row r="394">
      <c r="A394" s="25" t="inlineStr">
        <is>
          <t>Musah</t>
        </is>
      </c>
      <c r="B394" s="52" t="inlineStr">
        <is>
          <t>C</t>
        </is>
      </c>
      <c r="C394" s="35" t="inlineStr">
        <is>
          <t>C;W</t>
        </is>
      </c>
      <c r="D394" s="35" t="inlineStr">
        <is>
          <t>Milan</t>
        </is>
      </c>
      <c r="E394" s="50" t="n">
        <v>2</v>
      </c>
      <c r="F394" s="50" t="n">
        <v>6</v>
      </c>
    </row>
    <row r="395">
      <c r="A395" s="25" t="inlineStr">
        <is>
          <t>Ordonez C.</t>
        </is>
      </c>
      <c r="B395" s="52" t="inlineStr">
        <is>
          <t>C</t>
        </is>
      </c>
      <c r="C395" s="35" t="inlineStr">
        <is>
          <t>M;C</t>
        </is>
      </c>
      <c r="D395" s="35" t="inlineStr">
        <is>
          <t>Parma</t>
        </is>
      </c>
      <c r="E395" s="50" t="n">
        <v>2</v>
      </c>
      <c r="F395" s="50" t="n">
        <v>5</v>
      </c>
    </row>
    <row r="396">
      <c r="A396" s="25" t="inlineStr">
        <is>
          <t>Venturino</t>
        </is>
      </c>
      <c r="B396" s="52" t="inlineStr">
        <is>
          <t>C</t>
        </is>
      </c>
      <c r="C396" s="35" t="inlineStr">
        <is>
          <t>W</t>
        </is>
      </c>
      <c r="D396" s="35" t="inlineStr">
        <is>
          <t>Genoa</t>
        </is>
      </c>
      <c r="E396" s="50" t="n">
        <v>2</v>
      </c>
      <c r="F396" s="50" t="n">
        <v>6</v>
      </c>
    </row>
    <row r="397">
      <c r="A397" s="25" t="inlineStr">
        <is>
          <t>Anjorin</t>
        </is>
      </c>
      <c r="B397" s="52" t="inlineStr">
        <is>
          <t>C</t>
        </is>
      </c>
      <c r="C397" s="35" t="inlineStr">
        <is>
          <t>C;T</t>
        </is>
      </c>
      <c r="D397" s="35" t="inlineStr">
        <is>
          <t>Torino</t>
        </is>
      </c>
      <c r="E397" s="50" t="n">
        <v>1</v>
      </c>
      <c r="F397" s="50" t="n">
        <v>4</v>
      </c>
    </row>
    <row r="398">
      <c r="A398" s="25" t="inlineStr">
        <is>
          <t>Belahyane</t>
        </is>
      </c>
      <c r="B398" s="52" t="inlineStr">
        <is>
          <t>C</t>
        </is>
      </c>
      <c r="C398" s="35" t="inlineStr">
        <is>
          <t>M;C</t>
        </is>
      </c>
      <c r="D398" s="35" t="inlineStr">
        <is>
          <t>Lazio</t>
        </is>
      </c>
      <c r="E398" s="50" t="n">
        <v>1</v>
      </c>
      <c r="F398" s="50" t="n">
        <v>5</v>
      </c>
    </row>
    <row r="399">
      <c r="A399" s="25" t="inlineStr">
        <is>
          <t>Camara A.</t>
        </is>
      </c>
      <c r="B399" s="52" t="inlineStr">
        <is>
          <t>C</t>
        </is>
      </c>
      <c r="C399" s="35" t="inlineStr">
        <is>
          <t>M;C</t>
        </is>
      </c>
      <c r="D399" s="35" t="inlineStr">
        <is>
          <t>Udinese</t>
        </is>
      </c>
      <c r="E399" s="50" t="n">
        <v>1</v>
      </c>
      <c r="F399" s="50" t="n">
        <v>3</v>
      </c>
    </row>
    <row r="400">
      <c r="A400" s="25" t="inlineStr">
        <is>
          <t>Cremaschi</t>
        </is>
      </c>
      <c r="B400" s="52" t="inlineStr">
        <is>
          <t>C</t>
        </is>
      </c>
      <c r="C400" s="35" t="inlineStr">
        <is>
          <t>E;C</t>
        </is>
      </c>
      <c r="D400" s="35" t="inlineStr">
        <is>
          <t>Parma</t>
        </is>
      </c>
      <c r="E400" s="50" t="n">
        <v>1</v>
      </c>
      <c r="F400" s="50" t="n">
        <v>3</v>
      </c>
    </row>
    <row r="401">
      <c r="A401" s="25" t="inlineStr">
        <is>
          <t>Dagasso</t>
        </is>
      </c>
      <c r="B401" s="52" t="inlineStr">
        <is>
          <t>C</t>
        </is>
      </c>
      <c r="C401" s="35" t="inlineStr">
        <is>
          <t>C</t>
        </is>
      </c>
      <c r="D401" s="35" t="inlineStr">
        <is>
          <t>Venezia</t>
        </is>
      </c>
      <c r="E401" s="50" t="n">
        <v>1</v>
      </c>
      <c r="F401" s="50" t="n">
        <v>1</v>
      </c>
    </row>
    <row r="402">
      <c r="A402" s="25" t="inlineStr">
        <is>
          <t>El Azzouzi A.</t>
        </is>
      </c>
      <c r="B402" s="52" t="inlineStr">
        <is>
          <t>C</t>
        </is>
      </c>
      <c r="C402" s="35" t="inlineStr">
        <is>
          <t>M;C</t>
        </is>
      </c>
      <c r="D402" s="35" t="inlineStr">
        <is>
          <t>Frosinone</t>
        </is>
      </c>
      <c r="E402" s="50" t="n">
        <v>1</v>
      </c>
      <c r="F402" s="50" t="n">
        <v>3</v>
      </c>
    </row>
    <row r="403">
      <c r="A403" s="25" t="inlineStr">
        <is>
          <t>Fofana Sa.</t>
        </is>
      </c>
      <c r="B403" s="52" t="inlineStr">
        <is>
          <t>C</t>
        </is>
      </c>
      <c r="C403" s="35" t="inlineStr">
        <is>
          <t>M;C</t>
        </is>
      </c>
      <c r="D403" s="35" t="inlineStr">
        <is>
          <t>Lecce</t>
        </is>
      </c>
      <c r="E403" s="50" t="n">
        <v>1</v>
      </c>
      <c r="F403" s="50" t="n">
        <v>1</v>
      </c>
    </row>
    <row r="404">
      <c r="A404" s="25" t="inlineStr">
        <is>
          <t>Gorter</t>
        </is>
      </c>
      <c r="B404" s="52" t="inlineStr">
        <is>
          <t>C</t>
        </is>
      </c>
      <c r="C404" s="35" t="inlineStr">
        <is>
          <t>M;C</t>
        </is>
      </c>
      <c r="D404" s="35" t="inlineStr">
        <is>
          <t>Lecce</t>
        </is>
      </c>
      <c r="E404" s="50" t="n">
        <v>1</v>
      </c>
      <c r="F404" s="50" t="n">
        <v>3</v>
      </c>
    </row>
    <row r="405">
      <c r="A405" s="25" t="inlineStr">
        <is>
          <t>Iannoni</t>
        </is>
      </c>
      <c r="B405" s="52" t="inlineStr">
        <is>
          <t>C</t>
        </is>
      </c>
      <c r="C405" s="35" t="inlineStr">
        <is>
          <t>M;C</t>
        </is>
      </c>
      <c r="D405" s="35" t="inlineStr">
        <is>
          <t>Sassuolo</t>
        </is>
      </c>
      <c r="E405" s="50" t="n">
        <v>1</v>
      </c>
      <c r="F405" s="50" t="n">
        <v>1</v>
      </c>
    </row>
    <row r="406">
      <c r="A406" s="25" t="inlineStr">
        <is>
          <t>Ilic</t>
        </is>
      </c>
      <c r="B406" s="52" t="inlineStr">
        <is>
          <t>C</t>
        </is>
      </c>
      <c r="C406" s="35" t="inlineStr">
        <is>
          <t>C</t>
        </is>
      </c>
      <c r="D406" s="35" t="inlineStr">
        <is>
          <t>Torino</t>
        </is>
      </c>
      <c r="E406" s="50" t="n">
        <v>1</v>
      </c>
      <c r="F406" s="50" t="n">
        <v>4</v>
      </c>
    </row>
    <row r="407">
      <c r="A407" s="25" t="inlineStr">
        <is>
          <t>Kaba</t>
        </is>
      </c>
      <c r="B407" s="52" t="inlineStr">
        <is>
          <t>C</t>
        </is>
      </c>
      <c r="C407" s="35" t="inlineStr">
        <is>
          <t>M;C</t>
        </is>
      </c>
      <c r="D407" s="35" t="inlineStr">
        <is>
          <t>Lecce</t>
        </is>
      </c>
      <c r="E407" s="50" t="n">
        <v>1</v>
      </c>
      <c r="F407" s="50" t="n">
        <v>2</v>
      </c>
    </row>
    <row r="408">
      <c r="A408" s="25" t="inlineStr">
        <is>
          <t>Kone B.</t>
        </is>
      </c>
      <c r="B408" s="52" t="inlineStr">
        <is>
          <t>C</t>
        </is>
      </c>
      <c r="C408" s="35" t="inlineStr">
        <is>
          <t>C</t>
        </is>
      </c>
      <c r="D408" s="35" t="inlineStr">
        <is>
          <t>Frosinone</t>
        </is>
      </c>
      <c r="E408" s="50" t="n">
        <v>1</v>
      </c>
      <c r="F408" s="50" t="n">
        <v>3</v>
      </c>
    </row>
    <row r="409">
      <c r="A409" s="25" t="inlineStr">
        <is>
          <t>Lahdo</t>
        </is>
      </c>
      <c r="B409" s="52" t="inlineStr">
        <is>
          <t>C</t>
        </is>
      </c>
      <c r="C409" s="35" t="inlineStr">
        <is>
          <t>C;T</t>
        </is>
      </c>
      <c r="D409" s="35" t="inlineStr">
        <is>
          <t>Como</t>
        </is>
      </c>
      <c r="E409" s="50" t="n">
        <v>1</v>
      </c>
      <c r="F409" s="50" t="n">
        <v>1</v>
      </c>
    </row>
    <row r="410">
      <c r="A410" s="25" t="inlineStr">
        <is>
          <t>Liteta</t>
        </is>
      </c>
      <c r="B410" s="52" t="inlineStr">
        <is>
          <t>C</t>
        </is>
      </c>
      <c r="C410" s="35" t="inlineStr">
        <is>
          <t>M;C</t>
        </is>
      </c>
      <c r="D410" s="35" t="inlineStr">
        <is>
          <t>Cagliari</t>
        </is>
      </c>
      <c r="E410" s="50" t="n">
        <v>1</v>
      </c>
      <c r="F410" s="50" t="n">
        <v>1</v>
      </c>
    </row>
    <row r="411">
      <c r="A411" s="25" t="inlineStr">
        <is>
          <t>Przyborek</t>
        </is>
      </c>
      <c r="B411" s="52" t="inlineStr">
        <is>
          <t>C</t>
        </is>
      </c>
      <c r="C411" s="35" t="inlineStr">
        <is>
          <t>W;T</t>
        </is>
      </c>
      <c r="D411" s="35" t="inlineStr">
        <is>
          <t>Lazio</t>
        </is>
      </c>
      <c r="E411" s="50" t="n">
        <v>1</v>
      </c>
      <c r="F411" s="50" t="n">
        <v>5</v>
      </c>
    </row>
    <row r="412">
      <c r="A412" s="25" t="inlineStr">
        <is>
          <t>Zarraga</t>
        </is>
      </c>
      <c r="B412" s="52" t="inlineStr">
        <is>
          <t>C</t>
        </is>
      </c>
      <c r="C412" s="35" t="inlineStr">
        <is>
          <t>M;C</t>
        </is>
      </c>
      <c r="D412" s="35" t="inlineStr">
        <is>
          <t>Udinese</t>
        </is>
      </c>
      <c r="E412" s="50" t="n">
        <v>1</v>
      </c>
      <c r="F412" s="50" t="n">
        <v>4</v>
      </c>
    </row>
    <row r="413">
      <c r="A413" s="25" t="inlineStr">
        <is>
          <t>Martinez L.</t>
        </is>
      </c>
      <c r="B413" s="53" t="inlineStr">
        <is>
          <t>A</t>
        </is>
      </c>
      <c r="C413" s="35" t="inlineStr">
        <is>
          <t>Pc</t>
        </is>
      </c>
      <c r="D413" s="35" t="inlineStr">
        <is>
          <t>Inter</t>
        </is>
      </c>
      <c r="E413" s="50" t="n">
        <v>35</v>
      </c>
      <c r="F413" s="50" t="n">
        <v>370</v>
      </c>
    </row>
    <row r="414">
      <c r="A414" s="25" t="inlineStr">
        <is>
          <t>Malen</t>
        </is>
      </c>
      <c r="B414" s="53" t="inlineStr">
        <is>
          <t>A</t>
        </is>
      </c>
      <c r="C414" s="35" t="inlineStr">
        <is>
          <t>Pc</t>
        </is>
      </c>
      <c r="D414" s="35" t="inlineStr">
        <is>
          <t>Roma</t>
        </is>
      </c>
      <c r="E414" s="50" t="n">
        <v>34</v>
      </c>
      <c r="F414" s="50" t="n">
        <v>365</v>
      </c>
    </row>
    <row r="415">
      <c r="A415" s="25" t="inlineStr">
        <is>
          <t>Thuram</t>
        </is>
      </c>
      <c r="B415" s="53" t="inlineStr">
        <is>
          <t>A</t>
        </is>
      </c>
      <c r="C415" s="35" t="inlineStr">
        <is>
          <t>Pc</t>
        </is>
      </c>
      <c r="D415" s="35" t="inlineStr">
        <is>
          <t>Inter</t>
        </is>
      </c>
      <c r="E415" s="50" t="n">
        <v>29</v>
      </c>
      <c r="F415" s="50" t="n">
        <v>280</v>
      </c>
    </row>
    <row r="416">
      <c r="A416" s="25" t="inlineStr">
        <is>
          <t>Hojlund</t>
        </is>
      </c>
      <c r="B416" s="53" t="inlineStr">
        <is>
          <t>A</t>
        </is>
      </c>
      <c r="C416" s="35" t="inlineStr">
        <is>
          <t>Pc</t>
        </is>
      </c>
      <c r="D416" s="35" t="inlineStr">
        <is>
          <t>Napoli</t>
        </is>
      </c>
      <c r="E416" s="50" t="n">
        <v>28</v>
      </c>
      <c r="F416" s="50" t="n">
        <v>271</v>
      </c>
    </row>
    <row r="417">
      <c r="A417" s="25" t="inlineStr">
        <is>
          <t>Ramos G.</t>
        </is>
      </c>
      <c r="B417" s="53" t="inlineStr">
        <is>
          <t>A</t>
        </is>
      </c>
      <c r="C417" s="35" t="inlineStr">
        <is>
          <t>Pc</t>
        </is>
      </c>
      <c r="D417" s="35" t="inlineStr">
        <is>
          <t>Milan</t>
        </is>
      </c>
      <c r="E417" s="50" t="n">
        <v>27</v>
      </c>
      <c r="F417" s="50" t="n">
        <v>232</v>
      </c>
    </row>
    <row r="418">
      <c r="A418" s="25" t="inlineStr">
        <is>
          <t>Kolo Muani</t>
        </is>
      </c>
      <c r="B418" s="53" t="inlineStr">
        <is>
          <t>A</t>
        </is>
      </c>
      <c r="C418" s="35" t="inlineStr">
        <is>
          <t>Pc</t>
        </is>
      </c>
      <c r="D418" s="35" t="inlineStr">
        <is>
          <t>Juventus</t>
        </is>
      </c>
      <c r="E418" s="50" t="n">
        <v>26</v>
      </c>
      <c r="F418" s="50" t="n">
        <v>225</v>
      </c>
    </row>
    <row r="419">
      <c r="A419" s="25" t="inlineStr">
        <is>
          <t>Kean</t>
        </is>
      </c>
      <c r="B419" s="53" t="inlineStr">
        <is>
          <t>A</t>
        </is>
      </c>
      <c r="C419" s="35" t="inlineStr">
        <is>
          <t>Pc</t>
        </is>
      </c>
      <c r="D419" s="35" t="inlineStr">
        <is>
          <t>Fiorentina</t>
        </is>
      </c>
      <c r="E419" s="50" t="n">
        <v>25</v>
      </c>
      <c r="F419" s="50" t="n">
        <v>212</v>
      </c>
    </row>
    <row r="420">
      <c r="A420" s="25" t="inlineStr">
        <is>
          <t>Yildiz</t>
        </is>
      </c>
      <c r="B420" s="53" t="inlineStr">
        <is>
          <t>A</t>
        </is>
      </c>
      <c r="C420" s="35" t="inlineStr">
        <is>
          <t>A</t>
        </is>
      </c>
      <c r="D420" s="35" t="inlineStr">
        <is>
          <t>Juventus</t>
        </is>
      </c>
      <c r="E420" s="50" t="n">
        <v>23</v>
      </c>
      <c r="F420" s="50" t="n">
        <v>192</v>
      </c>
    </row>
    <row r="421">
      <c r="A421" s="25" t="inlineStr">
        <is>
          <t>Douvikas</t>
        </is>
      </c>
      <c r="B421" s="53" t="inlineStr">
        <is>
          <t>A</t>
        </is>
      </c>
      <c r="C421" s="35" t="inlineStr">
        <is>
          <t>Pc</t>
        </is>
      </c>
      <c r="D421" s="35" t="inlineStr">
        <is>
          <t>Como</t>
        </is>
      </c>
      <c r="E421" s="50" t="n">
        <v>20</v>
      </c>
      <c r="F421" s="50" t="n">
        <v>157</v>
      </c>
    </row>
    <row r="422">
      <c r="A422" s="25" t="inlineStr">
        <is>
          <t>Davis K.</t>
        </is>
      </c>
      <c r="B422" s="53" t="inlineStr">
        <is>
          <t>A</t>
        </is>
      </c>
      <c r="C422" s="35" t="inlineStr">
        <is>
          <t>Pc</t>
        </is>
      </c>
      <c r="D422" s="35" t="inlineStr">
        <is>
          <t>Udinese</t>
        </is>
      </c>
      <c r="E422" s="50" t="n">
        <v>19</v>
      </c>
      <c r="F422" s="50" t="n">
        <v>122</v>
      </c>
    </row>
    <row r="423">
      <c r="A423" s="25" t="inlineStr">
        <is>
          <t>Scamacca</t>
        </is>
      </c>
      <c r="B423" s="53" t="inlineStr">
        <is>
          <t>A</t>
        </is>
      </c>
      <c r="C423" s="35" t="inlineStr">
        <is>
          <t>Pc</t>
        </is>
      </c>
      <c r="D423" s="35" t="inlineStr">
        <is>
          <t>Atalanta</t>
        </is>
      </c>
      <c r="E423" s="50" t="n">
        <v>19</v>
      </c>
      <c r="F423" s="50" t="n">
        <v>131</v>
      </c>
    </row>
    <row r="424">
      <c r="A424" s="25" t="inlineStr">
        <is>
          <t>Berardi</t>
        </is>
      </c>
      <c r="B424" s="53" t="inlineStr">
        <is>
          <t>A</t>
        </is>
      </c>
      <c r="C424" s="35" t="inlineStr">
        <is>
          <t>A</t>
        </is>
      </c>
      <c r="D424" s="35" t="inlineStr">
        <is>
          <t>Sassuolo</t>
        </is>
      </c>
      <c r="E424" s="50" t="n">
        <v>18</v>
      </c>
      <c r="F424" s="50" t="n">
        <v>115</v>
      </c>
    </row>
    <row r="425">
      <c r="A425" s="25" t="inlineStr">
        <is>
          <t>Krstovic</t>
        </is>
      </c>
      <c r="B425" s="53" t="inlineStr">
        <is>
          <t>A</t>
        </is>
      </c>
      <c r="C425" s="35" t="inlineStr">
        <is>
          <t>Pc</t>
        </is>
      </c>
      <c r="D425" s="35" t="inlineStr">
        <is>
          <t>Atalanta</t>
        </is>
      </c>
      <c r="E425" s="50" t="n">
        <v>18</v>
      </c>
      <c r="F425" s="50" t="n">
        <v>95</v>
      </c>
    </row>
    <row r="426">
      <c r="A426" s="25" t="inlineStr">
        <is>
          <t>Leao</t>
        </is>
      </c>
      <c r="B426" s="53" t="inlineStr">
        <is>
          <t>A</t>
        </is>
      </c>
      <c r="C426" s="35" t="inlineStr">
        <is>
          <t>A</t>
        </is>
      </c>
      <c r="D426" s="35" t="inlineStr">
        <is>
          <t>Milan</t>
        </is>
      </c>
      <c r="E426" s="50" t="n">
        <v>18</v>
      </c>
      <c r="F426" s="50" t="n">
        <v>120</v>
      </c>
    </row>
    <row r="427">
      <c r="A427" s="25" t="inlineStr">
        <is>
          <t>De Ketelaere</t>
        </is>
      </c>
      <c r="B427" s="53" t="inlineStr">
        <is>
          <t>A</t>
        </is>
      </c>
      <c r="C427" s="35" t="inlineStr">
        <is>
          <t>A</t>
        </is>
      </c>
      <c r="D427" s="35" t="inlineStr">
        <is>
          <t>Atalanta</t>
        </is>
      </c>
      <c r="E427" s="50" t="n">
        <v>17</v>
      </c>
      <c r="F427" s="50" t="n">
        <v>106</v>
      </c>
    </row>
    <row r="428">
      <c r="A428" s="25" t="inlineStr">
        <is>
          <t>Dovbyk</t>
        </is>
      </c>
      <c r="B428" s="53" t="inlineStr">
        <is>
          <t>A</t>
        </is>
      </c>
      <c r="C428" s="35" t="inlineStr">
        <is>
          <t>Pc</t>
        </is>
      </c>
      <c r="D428" s="35" t="inlineStr">
        <is>
          <t>Bologna</t>
        </is>
      </c>
      <c r="E428" s="50" t="n">
        <v>16</v>
      </c>
      <c r="F428" s="50" t="n">
        <v>84</v>
      </c>
    </row>
    <row r="429">
      <c r="A429" s="25" t="inlineStr">
        <is>
          <t>Esposito F.P.</t>
        </is>
      </c>
      <c r="B429" s="53" t="inlineStr">
        <is>
          <t>A</t>
        </is>
      </c>
      <c r="C429" s="35" t="inlineStr">
        <is>
          <t>Pc</t>
        </is>
      </c>
      <c r="D429" s="35" t="inlineStr">
        <is>
          <t>Inter</t>
        </is>
      </c>
      <c r="E429" s="50" t="n">
        <v>16</v>
      </c>
      <c r="F429" s="50" t="n">
        <v>93</v>
      </c>
    </row>
    <row r="430">
      <c r="A430" s="25" t="inlineStr">
        <is>
          <t>Laurientè</t>
        </is>
      </c>
      <c r="B430" s="53" t="inlineStr">
        <is>
          <t>A</t>
        </is>
      </c>
      <c r="C430" s="35" t="inlineStr">
        <is>
          <t>A</t>
        </is>
      </c>
      <c r="D430" s="35" t="inlineStr">
        <is>
          <t>Sassuolo</t>
        </is>
      </c>
      <c r="E430" s="50" t="n">
        <v>15</v>
      </c>
      <c r="F430" s="50" t="n">
        <v>88</v>
      </c>
    </row>
    <row r="431">
      <c r="A431" s="25" t="inlineStr">
        <is>
          <t>Pellegrino M.</t>
        </is>
      </c>
      <c r="B431" s="53" t="inlineStr">
        <is>
          <t>A</t>
        </is>
      </c>
      <c r="C431" s="35" t="inlineStr">
        <is>
          <t>Pc</t>
        </is>
      </c>
      <c r="D431" s="35" t="inlineStr">
        <is>
          <t>Parma</t>
        </is>
      </c>
      <c r="E431" s="50" t="n">
        <v>15</v>
      </c>
      <c r="F431" s="50" t="n">
        <v>81</v>
      </c>
    </row>
    <row r="432">
      <c r="A432" s="25" t="inlineStr">
        <is>
          <t>Simeone</t>
        </is>
      </c>
      <c r="B432" s="53" t="inlineStr">
        <is>
          <t>A</t>
        </is>
      </c>
      <c r="C432" s="35" t="inlineStr">
        <is>
          <t>Pc</t>
        </is>
      </c>
      <c r="D432" s="35" t="inlineStr">
        <is>
          <t>Torino</t>
        </is>
      </c>
      <c r="E432" s="50" t="n">
        <v>15</v>
      </c>
      <c r="F432" s="50" t="n">
        <v>82</v>
      </c>
    </row>
    <row r="433">
      <c r="A433" s="25" t="inlineStr">
        <is>
          <t>Castro S.</t>
        </is>
      </c>
      <c r="B433" s="53" t="inlineStr">
        <is>
          <t>A</t>
        </is>
      </c>
      <c r="C433" s="35" t="inlineStr">
        <is>
          <t>Pc</t>
        </is>
      </c>
      <c r="D433" s="35" t="inlineStr">
        <is>
          <t>Roma</t>
        </is>
      </c>
      <c r="E433" s="50" t="n">
        <v>14</v>
      </c>
      <c r="F433" s="50" t="n">
        <v>81</v>
      </c>
    </row>
    <row r="434">
      <c r="A434" s="25" t="inlineStr">
        <is>
          <t>Dybala</t>
        </is>
      </c>
      <c r="B434" s="53" t="inlineStr">
        <is>
          <t>A</t>
        </is>
      </c>
      <c r="C434" s="35" t="inlineStr">
        <is>
          <t>A</t>
        </is>
      </c>
      <c r="D434" s="35" t="inlineStr">
        <is>
          <t>Roma</t>
        </is>
      </c>
      <c r="E434" s="50" t="n">
        <v>14</v>
      </c>
      <c r="F434" s="50" t="n">
        <v>67</v>
      </c>
    </row>
    <row r="435">
      <c r="A435" s="25" t="inlineStr">
        <is>
          <t>Santos A.</t>
        </is>
      </c>
      <c r="B435" s="53" t="inlineStr">
        <is>
          <t>A</t>
        </is>
      </c>
      <c r="C435" s="35" t="inlineStr">
        <is>
          <t>W;A</t>
        </is>
      </c>
      <c r="D435" s="35" t="inlineStr">
        <is>
          <t>Napoli</t>
        </is>
      </c>
      <c r="E435" s="50" t="n">
        <v>14</v>
      </c>
      <c r="F435" s="50" t="n">
        <v>57</v>
      </c>
    </row>
    <row r="436">
      <c r="A436" s="25" t="inlineStr">
        <is>
          <t>Esposito Se.</t>
        </is>
      </c>
      <c r="B436" s="53" t="inlineStr">
        <is>
          <t>A</t>
        </is>
      </c>
      <c r="C436" s="35" t="inlineStr">
        <is>
          <t>A</t>
        </is>
      </c>
      <c r="D436" s="35" t="inlineStr">
        <is>
          <t>Cagliari</t>
        </is>
      </c>
      <c r="E436" s="50" t="n">
        <v>13</v>
      </c>
      <c r="F436" s="50" t="n">
        <v>50</v>
      </c>
    </row>
    <row r="437">
      <c r="A437" s="25" t="inlineStr">
        <is>
          <t>Kevin Carlos</t>
        </is>
      </c>
      <c r="B437" s="53" t="inlineStr">
        <is>
          <t>A</t>
        </is>
      </c>
      <c r="C437" s="35" t="inlineStr">
        <is>
          <t>Pc</t>
        </is>
      </c>
      <c r="D437" s="35" t="inlineStr">
        <is>
          <t>Cagliari</t>
        </is>
      </c>
      <c r="E437" s="50" t="n">
        <v>13</v>
      </c>
      <c r="F437" s="50" t="n">
        <v>47</v>
      </c>
    </row>
    <row r="438">
      <c r="A438" s="25" t="inlineStr">
        <is>
          <t>Nkunku</t>
        </is>
      </c>
      <c r="B438" s="53" t="inlineStr">
        <is>
          <t>A</t>
        </is>
      </c>
      <c r="C438" s="35" t="inlineStr">
        <is>
          <t>A</t>
        </is>
      </c>
      <c r="D438" s="35" t="inlineStr">
        <is>
          <t>Milan</t>
        </is>
      </c>
      <c r="E438" s="50" t="n">
        <v>13</v>
      </c>
      <c r="F438" s="50" t="n">
        <v>52</v>
      </c>
    </row>
    <row r="439">
      <c r="A439" s="25" t="inlineStr">
        <is>
          <t>Pinamonti</t>
        </is>
      </c>
      <c r="B439" s="53" t="inlineStr">
        <is>
          <t>A</t>
        </is>
      </c>
      <c r="C439" s="35" t="inlineStr">
        <is>
          <t>Pc</t>
        </is>
      </c>
      <c r="D439" s="35" t="inlineStr">
        <is>
          <t>Sassuolo</t>
        </is>
      </c>
      <c r="E439" s="50" t="n">
        <v>13</v>
      </c>
      <c r="F439" s="50" t="n">
        <v>55</v>
      </c>
    </row>
    <row r="440">
      <c r="A440" s="25" t="inlineStr">
        <is>
          <t>Raspadori</t>
        </is>
      </c>
      <c r="B440" s="53" t="inlineStr">
        <is>
          <t>A</t>
        </is>
      </c>
      <c r="C440" s="35" t="inlineStr">
        <is>
          <t>A</t>
        </is>
      </c>
      <c r="D440" s="35" t="inlineStr">
        <is>
          <t>Atalanta</t>
        </is>
      </c>
      <c r="E440" s="50" t="n">
        <v>13</v>
      </c>
      <c r="F440" s="50" t="n">
        <v>62</v>
      </c>
    </row>
    <row r="441">
      <c r="A441" s="25" t="inlineStr">
        <is>
          <t>Adams A.</t>
        </is>
      </c>
      <c r="B441" s="53" t="inlineStr">
        <is>
          <t>A</t>
        </is>
      </c>
      <c r="C441" s="35" t="inlineStr">
        <is>
          <t>Pc</t>
        </is>
      </c>
      <c r="D441" s="35" t="inlineStr">
        <is>
          <t>Venezia</t>
        </is>
      </c>
      <c r="E441" s="50" t="n">
        <v>12</v>
      </c>
      <c r="F441" s="50" t="n">
        <v>51</v>
      </c>
    </row>
    <row r="442">
      <c r="A442" s="25" t="inlineStr">
        <is>
          <t>Soulè</t>
        </is>
      </c>
      <c r="B442" s="53" t="inlineStr">
        <is>
          <t>A</t>
        </is>
      </c>
      <c r="C442" s="35" t="inlineStr">
        <is>
          <t>A</t>
        </is>
      </c>
      <c r="D442" s="35" t="inlineStr">
        <is>
          <t>Roma</t>
        </is>
      </c>
      <c r="E442" s="50" t="n">
        <v>12</v>
      </c>
      <c r="F442" s="50" t="n">
        <v>53</v>
      </c>
    </row>
    <row r="443">
      <c r="A443" s="25" t="inlineStr">
        <is>
          <t>Colombo</t>
        </is>
      </c>
      <c r="B443" s="53" t="inlineStr">
        <is>
          <t>A</t>
        </is>
      </c>
      <c r="C443" s="35" t="inlineStr">
        <is>
          <t>Pc</t>
        </is>
      </c>
      <c r="D443" s="35" t="inlineStr">
        <is>
          <t>Genoa</t>
        </is>
      </c>
      <c r="E443" s="50" t="n">
        <v>11</v>
      </c>
      <c r="F443" s="50" t="n">
        <v>63</v>
      </c>
    </row>
    <row r="444">
      <c r="A444" s="25" t="inlineStr">
        <is>
          <t>Diao</t>
        </is>
      </c>
      <c r="B444" s="53" t="inlineStr">
        <is>
          <t>A</t>
        </is>
      </c>
      <c r="C444" s="35" t="inlineStr">
        <is>
          <t>W;A</t>
        </is>
      </c>
      <c r="D444" s="35" t="inlineStr">
        <is>
          <t>Como</t>
        </is>
      </c>
      <c r="E444" s="50" t="n">
        <v>11</v>
      </c>
      <c r="F444" s="50" t="n">
        <v>50</v>
      </c>
    </row>
    <row r="445">
      <c r="A445" s="25" t="inlineStr">
        <is>
          <t>Tourè E.</t>
        </is>
      </c>
      <c r="B445" s="53" t="inlineStr">
        <is>
          <t>A</t>
        </is>
      </c>
      <c r="C445" s="35" t="inlineStr">
        <is>
          <t>Pc</t>
        </is>
      </c>
      <c r="D445" s="35" t="inlineStr">
        <is>
          <t>Parma</t>
        </is>
      </c>
      <c r="E445" s="50" t="n">
        <v>11</v>
      </c>
      <c r="F445" s="50" t="n">
        <v>43</v>
      </c>
    </row>
    <row r="446">
      <c r="A446" s="25" t="inlineStr">
        <is>
          <t>Bowie</t>
        </is>
      </c>
      <c r="B446" s="53" t="inlineStr">
        <is>
          <t>A</t>
        </is>
      </c>
      <c r="C446" s="35" t="inlineStr">
        <is>
          <t>Pc</t>
        </is>
      </c>
      <c r="D446" s="35" t="inlineStr">
        <is>
          <t>Sassuolo</t>
        </is>
      </c>
      <c r="E446" s="50" t="n">
        <v>10</v>
      </c>
      <c r="F446" s="50" t="n">
        <v>39</v>
      </c>
    </row>
    <row r="447">
      <c r="A447" s="25" t="inlineStr">
        <is>
          <t>Dia</t>
        </is>
      </c>
      <c r="B447" s="53" t="inlineStr">
        <is>
          <t>A</t>
        </is>
      </c>
      <c r="C447" s="35" t="inlineStr">
        <is>
          <t>A</t>
        </is>
      </c>
      <c r="D447" s="35" t="inlineStr">
        <is>
          <t>Lazio</t>
        </is>
      </c>
      <c r="E447" s="50" t="n">
        <v>10</v>
      </c>
      <c r="F447" s="50" t="n">
        <v>31</v>
      </c>
    </row>
    <row r="448">
      <c r="A448" s="25" t="inlineStr">
        <is>
          <t>Lukaku</t>
        </is>
      </c>
      <c r="B448" s="53" t="inlineStr">
        <is>
          <t>A</t>
        </is>
      </c>
      <c r="C448" s="35" t="inlineStr">
        <is>
          <t>Pc</t>
        </is>
      </c>
      <c r="D448" s="35" t="inlineStr">
        <is>
          <t>Napoli</t>
        </is>
      </c>
      <c r="E448" s="50" t="n">
        <v>10</v>
      </c>
      <c r="F448" s="50" t="n">
        <v>45</v>
      </c>
    </row>
    <row r="449">
      <c r="A449" s="25" t="inlineStr">
        <is>
          <t>Ratkov</t>
        </is>
      </c>
      <c r="B449" s="53" t="inlineStr">
        <is>
          <t>A</t>
        </is>
      </c>
      <c r="C449" s="35" t="inlineStr">
        <is>
          <t>Pc</t>
        </is>
      </c>
      <c r="D449" s="35" t="inlineStr">
        <is>
          <t>Lazio</t>
        </is>
      </c>
      <c r="E449" s="50" t="n">
        <v>10</v>
      </c>
      <c r="F449" s="50" t="n">
        <v>32</v>
      </c>
    </row>
    <row r="450">
      <c r="A450" s="25" t="inlineStr">
        <is>
          <t>Adams C.</t>
        </is>
      </c>
      <c r="B450" s="53" t="inlineStr">
        <is>
          <t>A</t>
        </is>
      </c>
      <c r="C450" s="35" t="inlineStr">
        <is>
          <t>A</t>
        </is>
      </c>
      <c r="D450" s="35" t="inlineStr">
        <is>
          <t>Torino</t>
        </is>
      </c>
      <c r="E450" s="50" t="n">
        <v>9</v>
      </c>
      <c r="F450" s="50" t="n">
        <v>32</v>
      </c>
    </row>
    <row r="451">
      <c r="A451" s="25" t="inlineStr">
        <is>
          <t>Cutrone</t>
        </is>
      </c>
      <c r="B451" s="53" t="inlineStr">
        <is>
          <t>A</t>
        </is>
      </c>
      <c r="C451" s="35" t="inlineStr">
        <is>
          <t>Pc</t>
        </is>
      </c>
      <c r="D451" s="35" t="inlineStr">
        <is>
          <t>Monza</t>
        </is>
      </c>
      <c r="E451" s="50" t="n">
        <v>9</v>
      </c>
      <c r="F451" s="50" t="n">
        <v>33</v>
      </c>
    </row>
    <row r="452">
      <c r="A452" s="25" t="inlineStr">
        <is>
          <t>David</t>
        </is>
      </c>
      <c r="B452" s="53" t="inlineStr">
        <is>
          <t>A</t>
        </is>
      </c>
      <c r="C452" s="35" t="inlineStr">
        <is>
          <t>Pc</t>
        </is>
      </c>
      <c r="D452" s="35" t="inlineStr">
        <is>
          <t>Juventus</t>
        </is>
      </c>
      <c r="E452" s="50" t="n">
        <v>9</v>
      </c>
      <c r="F452" s="50" t="n">
        <v>40</v>
      </c>
    </row>
    <row r="453">
      <c r="A453" s="25" t="inlineStr">
        <is>
          <t>Geubbels</t>
        </is>
      </c>
      <c r="B453" s="53" t="inlineStr">
        <is>
          <t>A</t>
        </is>
      </c>
      <c r="C453" s="35" t="inlineStr">
        <is>
          <t>Pc</t>
        </is>
      </c>
      <c r="D453" s="35" t="inlineStr">
        <is>
          <t>Lecce</t>
        </is>
      </c>
      <c r="E453" s="50" t="n">
        <v>9</v>
      </c>
      <c r="F453" s="50" t="n">
        <v>25</v>
      </c>
    </row>
    <row r="454">
      <c r="A454" s="25" t="inlineStr">
        <is>
          <t>Ghedjemis</t>
        </is>
      </c>
      <c r="B454" s="53" t="inlineStr">
        <is>
          <t>A</t>
        </is>
      </c>
      <c r="C454" s="35" t="inlineStr">
        <is>
          <t>W;A</t>
        </is>
      </c>
      <c r="D454" s="35" t="inlineStr">
        <is>
          <t>Frosinone</t>
        </is>
      </c>
      <c r="E454" s="50" t="n">
        <v>9</v>
      </c>
      <c r="F454" s="50" t="n">
        <v>30</v>
      </c>
    </row>
    <row r="455">
      <c r="A455" s="25" t="inlineStr">
        <is>
          <t>Dallinga</t>
        </is>
      </c>
      <c r="B455" s="53" t="inlineStr">
        <is>
          <t>A</t>
        </is>
      </c>
      <c r="C455" s="35" t="inlineStr">
        <is>
          <t>Pc</t>
        </is>
      </c>
      <c r="D455" s="35" t="inlineStr">
        <is>
          <t>Bologna</t>
        </is>
      </c>
      <c r="E455" s="50" t="n">
        <v>8</v>
      </c>
      <c r="F455" s="50" t="n">
        <v>23</v>
      </c>
    </row>
    <row r="456">
      <c r="A456" s="25" t="inlineStr">
        <is>
          <t>Piccoli</t>
        </is>
      </c>
      <c r="B456" s="53" t="inlineStr">
        <is>
          <t>A</t>
        </is>
      </c>
      <c r="C456" s="35" t="inlineStr">
        <is>
          <t>Pc</t>
        </is>
      </c>
      <c r="D456" s="35" t="inlineStr">
        <is>
          <t>Fiorentina</t>
        </is>
      </c>
      <c r="E456" s="50" t="n">
        <v>8</v>
      </c>
      <c r="F456" s="50" t="n">
        <v>24</v>
      </c>
    </row>
    <row r="457">
      <c r="A457" s="25" t="inlineStr">
        <is>
          <t>Rrahmani Al.</t>
        </is>
      </c>
      <c r="B457" s="53" t="inlineStr">
        <is>
          <t>A</t>
        </is>
      </c>
      <c r="C457" s="35" t="inlineStr">
        <is>
          <t>Pc</t>
        </is>
      </c>
      <c r="D457" s="35" t="inlineStr">
        <is>
          <t>Venezia</t>
        </is>
      </c>
      <c r="E457" s="50" t="n">
        <v>8</v>
      </c>
      <c r="F457" s="50" t="n">
        <v>20</v>
      </c>
    </row>
    <row r="458">
      <c r="A458" s="25" t="inlineStr">
        <is>
          <t>Vitinha O.</t>
        </is>
      </c>
      <c r="B458" s="53" t="inlineStr">
        <is>
          <t>A</t>
        </is>
      </c>
      <c r="C458" s="35" t="inlineStr">
        <is>
          <t>A</t>
        </is>
      </c>
      <c r="D458" s="35" t="inlineStr">
        <is>
          <t>Genoa</t>
        </is>
      </c>
      <c r="E458" s="50" t="n">
        <v>8</v>
      </c>
      <c r="F458" s="50" t="n">
        <v>20</v>
      </c>
    </row>
    <row r="459">
      <c r="A459" s="25" t="inlineStr">
        <is>
          <t>Yeboah J.</t>
        </is>
      </c>
      <c r="B459" s="53" t="inlineStr">
        <is>
          <t>A</t>
        </is>
      </c>
      <c r="C459" s="35" t="inlineStr">
        <is>
          <t>A</t>
        </is>
      </c>
      <c r="D459" s="35" t="inlineStr">
        <is>
          <t>Venezia</t>
        </is>
      </c>
      <c r="E459" s="50" t="n">
        <v>8</v>
      </c>
      <c r="F459" s="50" t="n">
        <v>28</v>
      </c>
    </row>
    <row r="460">
      <c r="A460" s="25" t="inlineStr">
        <is>
          <t>Bonny</t>
        </is>
      </c>
      <c r="B460" s="53" t="inlineStr">
        <is>
          <t>A</t>
        </is>
      </c>
      <c r="C460" s="35" t="inlineStr">
        <is>
          <t>Pc</t>
        </is>
      </c>
      <c r="D460" s="35" t="inlineStr">
        <is>
          <t>Inter</t>
        </is>
      </c>
      <c r="E460" s="50" t="n">
        <v>7</v>
      </c>
      <c r="F460" s="50" t="n">
        <v>21</v>
      </c>
    </row>
    <row r="461">
      <c r="A461" s="25" t="inlineStr">
        <is>
          <t>Raimondo</t>
        </is>
      </c>
      <c r="B461" s="53" t="inlineStr">
        <is>
          <t>A</t>
        </is>
      </c>
      <c r="C461" s="35" t="inlineStr">
        <is>
          <t>Pc</t>
        </is>
      </c>
      <c r="D461" s="35" t="inlineStr">
        <is>
          <t>Frosinone</t>
        </is>
      </c>
      <c r="E461" s="50" t="n">
        <v>7</v>
      </c>
      <c r="F461" s="50" t="n">
        <v>24</v>
      </c>
    </row>
    <row r="462">
      <c r="A462" s="25" t="inlineStr">
        <is>
          <t>Stulic</t>
        </is>
      </c>
      <c r="B462" s="53" t="inlineStr">
        <is>
          <t>A</t>
        </is>
      </c>
      <c r="C462" s="35" t="inlineStr">
        <is>
          <t>Pc</t>
        </is>
      </c>
      <c r="D462" s="35" t="inlineStr">
        <is>
          <t>Lecce</t>
        </is>
      </c>
      <c r="E462" s="50" t="n">
        <v>7</v>
      </c>
      <c r="F462" s="50" t="n">
        <v>18</v>
      </c>
    </row>
    <row r="463">
      <c r="A463" s="25" t="inlineStr">
        <is>
          <t>Zapata D.</t>
        </is>
      </c>
      <c r="B463" s="53" t="inlineStr">
        <is>
          <t>A</t>
        </is>
      </c>
      <c r="C463" s="35" t="inlineStr">
        <is>
          <t>Pc</t>
        </is>
      </c>
      <c r="D463" s="35" t="inlineStr">
        <is>
          <t>Torino</t>
        </is>
      </c>
      <c r="E463" s="50" t="n">
        <v>7</v>
      </c>
      <c r="F463" s="50" t="n">
        <v>18</v>
      </c>
    </row>
    <row r="464">
      <c r="A464" s="25" t="inlineStr">
        <is>
          <t>Boga</t>
        </is>
      </c>
      <c r="B464" s="53" t="inlineStr">
        <is>
          <t>A</t>
        </is>
      </c>
      <c r="C464" s="35" t="inlineStr">
        <is>
          <t>W;A</t>
        </is>
      </c>
      <c r="D464" s="35" t="inlineStr">
        <is>
          <t>Juventus</t>
        </is>
      </c>
      <c r="E464" s="50" t="n">
        <v>6</v>
      </c>
      <c r="F464" s="50" t="n">
        <v>25</v>
      </c>
    </row>
    <row r="465">
      <c r="A465" s="25" t="inlineStr">
        <is>
          <t>Gimenez</t>
        </is>
      </c>
      <c r="B465" s="53" t="inlineStr">
        <is>
          <t>A</t>
        </is>
      </c>
      <c r="C465" s="35" t="inlineStr">
        <is>
          <t>Pc</t>
        </is>
      </c>
      <c r="D465" s="35" t="inlineStr">
        <is>
          <t>Milan</t>
        </is>
      </c>
      <c r="E465" s="50" t="n">
        <v>6</v>
      </c>
      <c r="F465" s="50" t="n">
        <v>14</v>
      </c>
    </row>
    <row r="466">
      <c r="A466" s="25" t="inlineStr">
        <is>
          <t>Mutandwa</t>
        </is>
      </c>
      <c r="B466" s="53" t="inlineStr">
        <is>
          <t>A</t>
        </is>
      </c>
      <c r="C466" s="35" t="inlineStr">
        <is>
          <t>Pc</t>
        </is>
      </c>
      <c r="D466" s="35" t="inlineStr">
        <is>
          <t>Cagliari</t>
        </is>
      </c>
      <c r="E466" s="50" t="n">
        <v>6</v>
      </c>
      <c r="F466" s="50" t="n">
        <v>19</v>
      </c>
    </row>
    <row r="467">
      <c r="A467" s="25" t="inlineStr">
        <is>
          <t>Neres</t>
        </is>
      </c>
      <c r="B467" s="53" t="inlineStr">
        <is>
          <t>A</t>
        </is>
      </c>
      <c r="C467" s="35" t="inlineStr">
        <is>
          <t>W;A</t>
        </is>
      </c>
      <c r="D467" s="35" t="inlineStr">
        <is>
          <t>Napoli</t>
        </is>
      </c>
      <c r="E467" s="50" t="n">
        <v>6</v>
      </c>
      <c r="F467" s="50" t="n">
        <v>22</v>
      </c>
    </row>
    <row r="468">
      <c r="A468" s="25" t="inlineStr">
        <is>
          <t>Noslin</t>
        </is>
      </c>
      <c r="B468" s="53" t="inlineStr">
        <is>
          <t>A</t>
        </is>
      </c>
      <c r="C468" s="35" t="inlineStr">
        <is>
          <t>A</t>
        </is>
      </c>
      <c r="D468" s="35" t="inlineStr">
        <is>
          <t>Lazio</t>
        </is>
      </c>
      <c r="E468" s="50" t="n">
        <v>6</v>
      </c>
      <c r="F468" s="50" t="n">
        <v>17</v>
      </c>
    </row>
    <row r="469">
      <c r="A469" s="25" t="inlineStr">
        <is>
          <t>Sulemana K.</t>
        </is>
      </c>
      <c r="B469" s="53" t="inlineStr">
        <is>
          <t>A</t>
        </is>
      </c>
      <c r="C469" s="35" t="inlineStr">
        <is>
          <t>A</t>
        </is>
      </c>
      <c r="D469" s="35" t="inlineStr">
        <is>
          <t>Atalanta</t>
        </is>
      </c>
      <c r="E469" s="50" t="n">
        <v>6</v>
      </c>
      <c r="F469" s="50" t="n">
        <v>16</v>
      </c>
    </row>
    <row r="470">
      <c r="A470" s="25" t="inlineStr">
        <is>
          <t>Adorante</t>
        </is>
      </c>
      <c r="B470" s="53" t="inlineStr">
        <is>
          <t>A</t>
        </is>
      </c>
      <c r="C470" s="35" t="inlineStr">
        <is>
          <t>Pc</t>
        </is>
      </c>
      <c r="D470" s="35" t="inlineStr">
        <is>
          <t>Venezia</t>
        </is>
      </c>
      <c r="E470" s="50" t="n">
        <v>5</v>
      </c>
      <c r="F470" s="50" t="n">
        <v>14</v>
      </c>
    </row>
    <row r="471">
      <c r="A471" s="25" t="inlineStr">
        <is>
          <t>Camarda</t>
        </is>
      </c>
      <c r="B471" s="53" t="inlineStr">
        <is>
          <t>A</t>
        </is>
      </c>
      <c r="C471" s="35" t="inlineStr">
        <is>
          <t>Pc</t>
        </is>
      </c>
      <c r="D471" s="35" t="inlineStr">
        <is>
          <t>Milan</t>
        </is>
      </c>
      <c r="E471" s="50" t="n">
        <v>5</v>
      </c>
      <c r="F471" s="50" t="n">
        <v>18</v>
      </c>
    </row>
    <row r="472">
      <c r="A472" s="25" t="inlineStr">
        <is>
          <t>Frigan</t>
        </is>
      </c>
      <c r="B472" s="53" t="inlineStr">
        <is>
          <t>A</t>
        </is>
      </c>
      <c r="C472" s="35" t="inlineStr">
        <is>
          <t>A</t>
        </is>
      </c>
      <c r="D472" s="35" t="inlineStr">
        <is>
          <t>Parma</t>
        </is>
      </c>
      <c r="E472" s="50" t="n">
        <v>5</v>
      </c>
      <c r="F472" s="50" t="n">
        <v>13</v>
      </c>
    </row>
    <row r="473">
      <c r="A473" s="25" t="inlineStr">
        <is>
          <t>Maldini</t>
        </is>
      </c>
      <c r="B473" s="53" t="inlineStr">
        <is>
          <t>A</t>
        </is>
      </c>
      <c r="C473" s="35" t="inlineStr">
        <is>
          <t>T;A</t>
        </is>
      </c>
      <c r="D473" s="35" t="inlineStr">
        <is>
          <t>Cagliari</t>
        </is>
      </c>
      <c r="E473" s="50" t="n">
        <v>5</v>
      </c>
      <c r="F473" s="50" t="n">
        <v>14</v>
      </c>
    </row>
    <row r="474">
      <c r="A474" s="25" t="inlineStr">
        <is>
          <t>Mota</t>
        </is>
      </c>
      <c r="B474" s="53" t="inlineStr">
        <is>
          <t>A</t>
        </is>
      </c>
      <c r="C474" s="35" t="inlineStr">
        <is>
          <t>A</t>
        </is>
      </c>
      <c r="D474" s="35" t="inlineStr">
        <is>
          <t>Monza</t>
        </is>
      </c>
      <c r="E474" s="50" t="n">
        <v>5</v>
      </c>
      <c r="F474" s="50" t="n">
        <v>18</v>
      </c>
    </row>
    <row r="475">
      <c r="A475" s="25" t="inlineStr">
        <is>
          <t>Borrelli</t>
        </is>
      </c>
      <c r="B475" s="53" t="inlineStr">
        <is>
          <t>A</t>
        </is>
      </c>
      <c r="C475" s="35" t="inlineStr">
        <is>
          <t>Pc</t>
        </is>
      </c>
      <c r="D475" s="35" t="inlineStr">
        <is>
          <t>Cagliari</t>
        </is>
      </c>
      <c r="E475" s="50" t="n">
        <v>4</v>
      </c>
      <c r="F475" s="50" t="n">
        <v>9</v>
      </c>
    </row>
    <row r="476">
      <c r="A476" s="25" t="inlineStr">
        <is>
          <t>Giovane</t>
        </is>
      </c>
      <c r="B476" s="53" t="inlineStr">
        <is>
          <t>A</t>
        </is>
      </c>
      <c r="C476" s="35" t="inlineStr">
        <is>
          <t>A</t>
        </is>
      </c>
      <c r="D476" s="35" t="inlineStr">
        <is>
          <t>Napoli</t>
        </is>
      </c>
      <c r="E476" s="50" t="n">
        <v>4</v>
      </c>
      <c r="F476" s="50" t="n">
        <v>10</v>
      </c>
    </row>
    <row r="477">
      <c r="A477" s="25" t="inlineStr">
        <is>
          <t>Gueye</t>
        </is>
      </c>
      <c r="B477" s="53" t="inlineStr">
        <is>
          <t>A</t>
        </is>
      </c>
      <c r="C477" s="35" t="inlineStr">
        <is>
          <t>Pc</t>
        </is>
      </c>
      <c r="D477" s="35" t="inlineStr">
        <is>
          <t>Udinese</t>
        </is>
      </c>
      <c r="E477" s="50" t="n">
        <v>4</v>
      </c>
      <c r="F477" s="50" t="n">
        <v>7</v>
      </c>
    </row>
    <row r="478">
      <c r="A478" s="25" t="inlineStr">
        <is>
          <t>Havel</t>
        </is>
      </c>
      <c r="B478" s="53" t="inlineStr">
        <is>
          <t>A</t>
        </is>
      </c>
      <c r="C478" s="35" t="inlineStr">
        <is>
          <t>Pc</t>
        </is>
      </c>
      <c r="D478" s="35" t="inlineStr">
        <is>
          <t>Genoa</t>
        </is>
      </c>
      <c r="E478" s="50" t="n">
        <v>4</v>
      </c>
      <c r="F478" s="50" t="n">
        <v>9</v>
      </c>
    </row>
    <row r="479">
      <c r="A479" s="25" t="inlineStr">
        <is>
          <t>Kulenovic</t>
        </is>
      </c>
      <c r="B479" s="53" t="inlineStr">
        <is>
          <t>A</t>
        </is>
      </c>
      <c r="C479" s="35" t="inlineStr">
        <is>
          <t>Pc</t>
        </is>
      </c>
      <c r="D479" s="35" t="inlineStr">
        <is>
          <t>Torino</t>
        </is>
      </c>
      <c r="E479" s="50" t="n">
        <v>4</v>
      </c>
      <c r="F479" s="50" t="n">
        <v>9</v>
      </c>
    </row>
    <row r="480">
      <c r="A480" s="25" t="inlineStr">
        <is>
          <t>Kvernadze</t>
        </is>
      </c>
      <c r="B480" s="53" t="inlineStr">
        <is>
          <t>A</t>
        </is>
      </c>
      <c r="C480" s="35" t="inlineStr">
        <is>
          <t>W;A</t>
        </is>
      </c>
      <c r="D480" s="35" t="inlineStr">
        <is>
          <t>Frosinone</t>
        </is>
      </c>
      <c r="E480" s="50" t="n">
        <v>4</v>
      </c>
      <c r="F480" s="50" t="n">
        <v>15</v>
      </c>
    </row>
    <row r="481">
      <c r="A481" s="25" t="inlineStr">
        <is>
          <t>Mendy P.</t>
        </is>
      </c>
      <c r="B481" s="53" t="inlineStr">
        <is>
          <t>A</t>
        </is>
      </c>
      <c r="C481" s="35" t="inlineStr">
        <is>
          <t>Pc</t>
        </is>
      </c>
      <c r="D481" s="35" t="inlineStr">
        <is>
          <t>Cagliari</t>
        </is>
      </c>
      <c r="E481" s="50" t="n">
        <v>4</v>
      </c>
      <c r="F481" s="50" t="n">
        <v>9</v>
      </c>
    </row>
    <row r="482">
      <c r="A482" s="25" t="inlineStr">
        <is>
          <t>Morata</t>
        </is>
      </c>
      <c r="B482" s="53" t="inlineStr">
        <is>
          <t>A</t>
        </is>
      </c>
      <c r="C482" s="35" t="inlineStr">
        <is>
          <t>Pc</t>
        </is>
      </c>
      <c r="D482" s="35" t="inlineStr">
        <is>
          <t>Como</t>
        </is>
      </c>
      <c r="E482" s="50" t="n">
        <v>4</v>
      </c>
      <c r="F482" s="50" t="n">
        <v>10</v>
      </c>
    </row>
    <row r="483">
      <c r="A483" s="25" t="inlineStr">
        <is>
          <t>Robinson J.</t>
        </is>
      </c>
      <c r="B483" s="53" t="inlineStr">
        <is>
          <t>A</t>
        </is>
      </c>
      <c r="C483" s="35" t="inlineStr">
        <is>
          <t>A</t>
        </is>
      </c>
      <c r="D483" s="35" t="inlineStr">
        <is>
          <t>Monza</t>
        </is>
      </c>
      <c r="E483" s="50" t="n">
        <v>4</v>
      </c>
      <c r="F483" s="50" t="n">
        <v>10</v>
      </c>
    </row>
    <row r="484">
      <c r="A484" s="25" t="inlineStr">
        <is>
          <t>Ekhator</t>
        </is>
      </c>
      <c r="B484" s="53" t="inlineStr">
        <is>
          <t>A</t>
        </is>
      </c>
      <c r="C484" s="35" t="inlineStr">
        <is>
          <t>A</t>
        </is>
      </c>
      <c r="D484" s="35" t="inlineStr">
        <is>
          <t>Juventus</t>
        </is>
      </c>
      <c r="E484" s="50" t="n">
        <v>3</v>
      </c>
      <c r="F484" s="50" t="n">
        <v>10</v>
      </c>
    </row>
    <row r="485">
      <c r="A485" s="25" t="inlineStr">
        <is>
          <t>Elphege</t>
        </is>
      </c>
      <c r="B485" s="53" t="inlineStr">
        <is>
          <t>A</t>
        </is>
      </c>
      <c r="C485" s="35" t="inlineStr">
        <is>
          <t>Pc</t>
        </is>
      </c>
      <c r="D485" s="35" t="inlineStr">
        <is>
          <t>Parma</t>
        </is>
      </c>
      <c r="E485" s="50" t="n">
        <v>3</v>
      </c>
      <c r="F485" s="50" t="n">
        <v>11</v>
      </c>
    </row>
    <row r="486">
      <c r="A486" s="25" t="inlineStr">
        <is>
          <t>Kuhn</t>
        </is>
      </c>
      <c r="B486" s="53" t="inlineStr">
        <is>
          <t>A</t>
        </is>
      </c>
      <c r="C486" s="35" t="inlineStr">
        <is>
          <t>W;A</t>
        </is>
      </c>
      <c r="D486" s="35" t="inlineStr">
        <is>
          <t>Como</t>
        </is>
      </c>
      <c r="E486" s="50" t="n">
        <v>3</v>
      </c>
      <c r="F486" s="50" t="n">
        <v>5</v>
      </c>
    </row>
    <row r="487">
      <c r="A487" s="25" t="inlineStr">
        <is>
          <t>Lang</t>
        </is>
      </c>
      <c r="B487" s="53" t="inlineStr">
        <is>
          <t>A</t>
        </is>
      </c>
      <c r="C487" s="35" t="inlineStr">
        <is>
          <t>A</t>
        </is>
      </c>
      <c r="D487" s="35" t="inlineStr">
        <is>
          <t>Napoli</t>
        </is>
      </c>
      <c r="E487" s="50" t="n">
        <v>3</v>
      </c>
      <c r="F487" s="50" t="n">
        <v>10</v>
      </c>
    </row>
    <row r="488">
      <c r="A488" s="25" t="inlineStr">
        <is>
          <t>Lucca</t>
        </is>
      </c>
      <c r="B488" s="53" t="inlineStr">
        <is>
          <t>A</t>
        </is>
      </c>
      <c r="C488" s="35" t="inlineStr">
        <is>
          <t>Pc</t>
        </is>
      </c>
      <c r="D488" s="35" t="inlineStr">
        <is>
          <t>Napoli</t>
        </is>
      </c>
      <c r="E488" s="50" t="n">
        <v>3</v>
      </c>
      <c r="F488" s="50" t="n">
        <v>10</v>
      </c>
    </row>
    <row r="489">
      <c r="A489" s="25" t="inlineStr">
        <is>
          <t>N'Dri</t>
        </is>
      </c>
      <c r="B489" s="53" t="inlineStr">
        <is>
          <t>A</t>
        </is>
      </c>
      <c r="C489" s="35" t="inlineStr">
        <is>
          <t>W;A</t>
        </is>
      </c>
      <c r="D489" s="35" t="inlineStr">
        <is>
          <t>Lecce</t>
        </is>
      </c>
      <c r="E489" s="50" t="n">
        <v>3</v>
      </c>
      <c r="F489" s="50" t="n">
        <v>9</v>
      </c>
    </row>
    <row r="490">
      <c r="A490" s="25" t="inlineStr">
        <is>
          <t>Varela G.</t>
        </is>
      </c>
      <c r="B490" s="53" t="inlineStr">
        <is>
          <t>A</t>
        </is>
      </c>
      <c r="C490" s="35" t="inlineStr">
        <is>
          <t>Pc</t>
        </is>
      </c>
      <c r="D490" s="35" t="inlineStr">
        <is>
          <t>Monza</t>
        </is>
      </c>
      <c r="E490" s="50" t="n">
        <v>3</v>
      </c>
      <c r="F490" s="50" t="n">
        <v>7</v>
      </c>
    </row>
    <row r="491">
      <c r="A491" s="25" t="inlineStr">
        <is>
          <t>Buksa</t>
        </is>
      </c>
      <c r="B491" s="53" t="inlineStr">
        <is>
          <t>A</t>
        </is>
      </c>
      <c r="C491" s="35" t="inlineStr">
        <is>
          <t>Pc</t>
        </is>
      </c>
      <c r="D491" s="35" t="inlineStr">
        <is>
          <t>Udinese</t>
        </is>
      </c>
      <c r="E491" s="50" t="n">
        <v>2</v>
      </c>
      <c r="F491" s="50" t="n">
        <v>4</v>
      </c>
    </row>
    <row r="492">
      <c r="A492" s="25" t="inlineStr">
        <is>
          <t>Petagna</t>
        </is>
      </c>
      <c r="B492" s="53" t="inlineStr">
        <is>
          <t>A</t>
        </is>
      </c>
      <c r="C492" s="35" t="inlineStr">
        <is>
          <t>Pc</t>
        </is>
      </c>
      <c r="D492" s="35" t="inlineStr">
        <is>
          <t>Monza</t>
        </is>
      </c>
      <c r="E492" s="50" t="n">
        <v>2</v>
      </c>
      <c r="F492" s="50" t="n">
        <v>5</v>
      </c>
    </row>
    <row r="493">
      <c r="A493" s="25" t="inlineStr">
        <is>
          <t>Albarracin</t>
        </is>
      </c>
      <c r="B493" s="53" t="inlineStr">
        <is>
          <t>A</t>
        </is>
      </c>
      <c r="C493" s="35" t="inlineStr">
        <is>
          <t>A</t>
        </is>
      </c>
      <c r="D493" s="35" t="inlineStr">
        <is>
          <t>Cagliari</t>
        </is>
      </c>
      <c r="E493" s="50" t="n">
        <v>1</v>
      </c>
      <c r="F493" s="50" t="n">
        <v>1</v>
      </c>
    </row>
    <row r="494">
      <c r="A494" s="25" t="inlineStr">
        <is>
          <t>Azon</t>
        </is>
      </c>
      <c r="B494" s="53" t="inlineStr">
        <is>
          <t>A</t>
        </is>
      </c>
      <c r="C494" s="35" t="inlineStr">
        <is>
          <t>Pc</t>
        </is>
      </c>
      <c r="D494" s="35" t="inlineStr">
        <is>
          <t>Como</t>
        </is>
      </c>
      <c r="E494" s="50" t="n">
        <v>1</v>
      </c>
      <c r="F494" s="50" t="n">
        <v>1</v>
      </c>
    </row>
    <row r="495">
      <c r="A495" s="25" t="inlineStr">
        <is>
          <t>Bayo V.</t>
        </is>
      </c>
      <c r="B495" s="53" t="inlineStr">
        <is>
          <t>A</t>
        </is>
      </c>
      <c r="C495" s="35" t="inlineStr">
        <is>
          <t>Pc</t>
        </is>
      </c>
      <c r="D495" s="35" t="inlineStr">
        <is>
          <t>Udinese</t>
        </is>
      </c>
      <c r="E495" s="50" t="n">
        <v>1</v>
      </c>
      <c r="F495" s="50" t="n">
        <v>3</v>
      </c>
    </row>
    <row r="496">
      <c r="A496" s="25" t="inlineStr">
        <is>
          <t>Lauberbach</t>
        </is>
      </c>
      <c r="B496" s="53" t="inlineStr">
        <is>
          <t>A</t>
        </is>
      </c>
      <c r="C496" s="35" t="inlineStr">
        <is>
          <t>Pc</t>
        </is>
      </c>
      <c r="D496" s="35" t="inlineStr">
        <is>
          <t>Venezia</t>
        </is>
      </c>
      <c r="E496" s="50" t="n">
        <v>1</v>
      </c>
      <c r="F496" s="50" t="n">
        <v>1</v>
      </c>
    </row>
    <row r="497">
      <c r="A497" s="25" t="inlineStr">
        <is>
          <t>Lisman</t>
        </is>
      </c>
      <c r="B497" s="53" t="inlineStr">
        <is>
          <t>A</t>
        </is>
      </c>
      <c r="C497" s="35" t="inlineStr">
        <is>
          <t>W;A</t>
        </is>
      </c>
      <c r="D497" s="35" t="inlineStr">
        <is>
          <t>Venezia</t>
        </is>
      </c>
      <c r="E497" s="50" t="n">
        <v>1</v>
      </c>
      <c r="F497" s="50" t="n">
        <v>1</v>
      </c>
    </row>
    <row r="498">
      <c r="A498" s="25" t="inlineStr">
        <is>
          <t>Moro L.</t>
        </is>
      </c>
      <c r="B498" s="53" t="inlineStr">
        <is>
          <t>A</t>
        </is>
      </c>
      <c r="C498" s="35" t="inlineStr">
        <is>
          <t>Pc</t>
        </is>
      </c>
      <c r="D498" s="35" t="inlineStr">
        <is>
          <t>Sassuolo</t>
        </is>
      </c>
      <c r="E498" s="50" t="n">
        <v>1</v>
      </c>
      <c r="F498" s="50" t="n">
        <v>1</v>
      </c>
    </row>
    <row r="499">
      <c r="A499" s="25" t="inlineStr">
        <is>
          <t>Trepy</t>
        </is>
      </c>
      <c r="B499" s="53" t="inlineStr">
        <is>
          <t>A</t>
        </is>
      </c>
      <c r="C499" s="35" t="inlineStr">
        <is>
          <t>Pc</t>
        </is>
      </c>
      <c r="D499" s="35" t="inlineStr">
        <is>
          <t>Cagliari</t>
        </is>
      </c>
      <c r="E499" s="50" t="n">
        <v>1</v>
      </c>
      <c r="F499" s="50" t="n">
        <v>2</v>
      </c>
    </row>
    <row r="500">
      <c r="A500" s="25" t="inlineStr">
        <is>
          <t>Vaz</t>
        </is>
      </c>
      <c r="B500" s="53" t="inlineStr">
        <is>
          <t>A</t>
        </is>
      </c>
      <c r="C500" s="35" t="inlineStr">
        <is>
          <t>Pc</t>
        </is>
      </c>
      <c r="D500" s="35" t="inlineStr">
        <is>
          <t>Roma</t>
        </is>
      </c>
      <c r="E500" s="50" t="n">
        <v>1</v>
      </c>
      <c r="F500" s="50" t="n">
        <v>4</v>
      </c>
    </row>
  </sheetData>
  <autoFilter ref="A3:F500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2026-08-11T11:59:54Z</dcterms:created>
  <dcterms:modified xmlns:dcterms="http://purl.org/dc/terms/" xmlns:xsi="http://www.w3.org/2001/XMLSchema-instance" xsi:type="dcterms:W3CDTF">2026-08-14T15:58:55Z</dcterms:modified>
  <cp:lastModifiedBy>Andrea Margiovanni</cp:lastModifiedBy>
  <cp:revision>1</cp:revision>
</cp:coreProperties>
</file>