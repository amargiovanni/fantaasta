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ndreamargiovanni/Downloads/"/>
    </mc:Choice>
  </mc:AlternateContent>
  <xr:revisionPtr revIDLastSave="0" documentId="13_ncr:1_{8C3D425D-796E-924C-A203-89410A171FBD}" xr6:coauthVersionLast="47" xr6:coauthVersionMax="47" xr10:uidLastSave="{00000000-0000-0000-0000-000000000000}"/>
  <bookViews>
    <workbookView xWindow="1400" yWindow="960" windowWidth="36800" windowHeight="23700" tabRatio="500" xr2:uid="{00000000-000D-0000-FFFF-FFFF00000000}"/>
  </bookViews>
  <sheets>
    <sheet name="Asta" sheetId="1" r:id="rId1"/>
    <sheet name="Grafici" sheetId="2" r:id="rId2"/>
    <sheet name="Portieri" sheetId="3" r:id="rId3"/>
    <sheet name="Difensori" sheetId="4" r:id="rId4"/>
    <sheet name="Centrocampisti" sheetId="5" r:id="rId5"/>
    <sheet name="Attaccanti" sheetId="6" r:id="rId6"/>
    <sheet name="Listone" sheetId="7" r:id="rId7"/>
  </sheets>
  <definedNames>
    <definedName name="_xlnm._FilterDatabase" localSheetId="6" hidden="1">Listone!$A$3:$F$500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1" i="1" l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F7" i="1"/>
  <c r="E7" i="1"/>
  <c r="F6" i="1"/>
  <c r="E6" i="1"/>
  <c r="B6" i="1"/>
  <c r="B7" i="1" s="1"/>
  <c r="F5" i="1"/>
  <c r="E5" i="1"/>
  <c r="F4" i="1"/>
  <c r="E4" i="1"/>
  <c r="B4" i="1"/>
  <c r="G6" i="1" l="1"/>
  <c r="G7" i="1"/>
  <c r="H7" i="1"/>
  <c r="G4" i="1"/>
  <c r="F8" i="1"/>
  <c r="H8" i="1" s="1"/>
  <c r="G5" i="1"/>
  <c r="G8" i="1"/>
  <c r="E8" i="1"/>
  <c r="H4" i="1"/>
  <c r="H6" i="1"/>
  <c r="B5" i="1"/>
  <c r="B8" i="1" s="1"/>
  <c r="H5" i="1"/>
</calcChain>
</file>

<file path=xl/sharedStrings.xml><?xml version="1.0" encoding="utf-8"?>
<sst xmlns="http://schemas.openxmlformats.org/spreadsheetml/2006/main" count="4090" uniqueCount="1127">
  <si>
    <t>FANTA ASTA 2026-27 · Modalità Classic · Budget 1000 crediti</t>
  </si>
  <si>
    <t>Rosa: 3 P + 8 D + 8 C + 6 A = 25 slot. Compila solo le celle GIALLE durante l'asta: tutto il resto si aggiorna da solo (grafici inclusi).</t>
  </si>
  <si>
    <t>Budget totale</t>
  </si>
  <si>
    <t>Reparto</t>
  </si>
  <si>
    <t>Budget consigliato</t>
  </si>
  <si>
    <t>Speso</t>
  </si>
  <si>
    <t>Residuo reparto</t>
  </si>
  <si>
    <t>% del totale speso</t>
  </si>
  <si>
    <t>P</t>
  </si>
  <si>
    <t>Crediti rimasti</t>
  </si>
  <si>
    <t>D</t>
  </si>
  <si>
    <t>Giocatori acquistati</t>
  </si>
  <si>
    <t>C</t>
  </si>
  <si>
    <t>Slot rimanenti</t>
  </si>
  <si>
    <t>A</t>
  </si>
  <si>
    <t>Media crediti / slot residuo</t>
  </si>
  <si>
    <t>Totale</t>
  </si>
  <si>
    <t>COME SI USA</t>
  </si>
  <si>
    <t>1. Le celle GIALLE sono le uniche da compilare: colonna H (giocatore acquistato) e colonna I (crediti pagati). Puoi anche cambiare il budget in B3.</t>
  </si>
  <si>
    <t>2. Il target in colonna D è il consiglio n.1 per quello slot: se te lo soffiano, apri il foglio del reparto e scendi nella lista delle 10+ alternative in ordine di priorità.</t>
  </si>
  <si>
    <t>3. La colonna J mostra i crediti residui dopo ogni acquisto; il riquadro in alto e il foglio Grafici si aggiornano in automatico.</t>
  </si>
  <si>
    <t>4. Esempio di compilazione → hai preso Svilar a 62: scrivi "Svilar" in H e 62 in I. Demo qui a destra:</t>
  </si>
  <si>
    <t>Es. →</t>
  </si>
  <si>
    <t>Svilar</t>
  </si>
  <si>
    <t>Slot</t>
  </si>
  <si>
    <t>Ruolo</t>
  </si>
  <si>
    <t>Profilo dello slot</t>
  </si>
  <si>
    <t>Target consigliato</t>
  </si>
  <si>
    <t>Squadra</t>
  </si>
  <si>
    <t>Qt.A listino</t>
  </si>
  <si>
    <t>Prezzo max consigliato</t>
  </si>
  <si>
    <t>Giocatore acquistato</t>
  </si>
  <si>
    <t>Pagato</t>
  </si>
  <si>
    <t>Crediti residui dopo l'acquisto</t>
  </si>
  <si>
    <t>P1</t>
  </si>
  <si>
    <t>Portiere titolare top (clean sheet + modificatore)</t>
  </si>
  <si>
    <t>Roma</t>
  </si>
  <si>
    <t>P2</t>
  </si>
  <si>
    <t>Secondo portiere / coppia o secondo titolare</t>
  </si>
  <si>
    <t>Provedel</t>
  </si>
  <si>
    <t>Inter</t>
  </si>
  <si>
    <t>P3</t>
  </si>
  <si>
    <t>Terzo portiere a 1-5 crediti</t>
  </si>
  <si>
    <t>Paleari</t>
  </si>
  <si>
    <t>Torino</t>
  </si>
  <si>
    <t>D1</t>
  </si>
  <si>
    <t>Top assoluto da bonus (attaccante aggiunto)</t>
  </si>
  <si>
    <t>Dimarco</t>
  </si>
  <si>
    <t>D2</t>
  </si>
  <si>
    <t>Esterno da bonus (gol+assist)</t>
  </si>
  <si>
    <t>Wesley</t>
  </si>
  <si>
    <t>D3</t>
  </si>
  <si>
    <t>Centrale big da modificatore</t>
  </si>
  <si>
    <t>Akanji</t>
  </si>
  <si>
    <t>D4</t>
  </si>
  <si>
    <t>Centrale affidabile da buon voto</t>
  </si>
  <si>
    <t>Ostigard</t>
  </si>
  <si>
    <t>Genoa</t>
  </si>
  <si>
    <t>D5</t>
  </si>
  <si>
    <t>Esterno titolare media fascia</t>
  </si>
  <si>
    <t>Miranda J.</t>
  </si>
  <si>
    <t>Bologna</t>
  </si>
  <si>
    <t>D6</t>
  </si>
  <si>
    <t>Titolare di provincia</t>
  </si>
  <si>
    <t>Delprato</t>
  </si>
  <si>
    <t>Parma</t>
  </si>
  <si>
    <t>D7</t>
  </si>
  <si>
    <t>Low cost titolare</t>
  </si>
  <si>
    <t>Bracaglia</t>
  </si>
  <si>
    <t>Frosinone</t>
  </si>
  <si>
    <t>D8</t>
  </si>
  <si>
    <t>Scommessa / parcheggio infortunati</t>
  </si>
  <si>
    <t>Hien</t>
  </si>
  <si>
    <t>Atalanta</t>
  </si>
  <si>
    <t>C1</t>
  </si>
  <si>
    <t>Top di reparto (vince il fanta)</t>
  </si>
  <si>
    <t>Paz N.</t>
  </si>
  <si>
    <t>Como</t>
  </si>
  <si>
    <t>C2</t>
  </si>
  <si>
    <t>Secondo top / rigorista</t>
  </si>
  <si>
    <t>Calhanoglu</t>
  </si>
  <si>
    <t>C3</t>
  </si>
  <si>
    <t>Trequartista da bonus</t>
  </si>
  <si>
    <t>De Bruyne</t>
  </si>
  <si>
    <t>Napoli</t>
  </si>
  <si>
    <t>C4</t>
  </si>
  <si>
    <t>Titolare da potenziale doppia cifra</t>
  </si>
  <si>
    <t>Taylor K.</t>
  </si>
  <si>
    <t>Lazio</t>
  </si>
  <si>
    <t>C5</t>
  </si>
  <si>
    <t>Jolly da bonus (cambi ruolo inclusi)</t>
  </si>
  <si>
    <t>Pasalic</t>
  </si>
  <si>
    <t>C6</t>
  </si>
  <si>
    <t>Titolare da buon voto</t>
  </si>
  <si>
    <t>Thorstvedt</t>
  </si>
  <si>
    <t>Sassuolo</t>
  </si>
  <si>
    <t>C7</t>
  </si>
  <si>
    <t>Low cost titolare / piazzati</t>
  </si>
  <si>
    <t>Berisha M.</t>
  </si>
  <si>
    <t>Lecce</t>
  </si>
  <si>
    <t>C8</t>
  </si>
  <si>
    <t>Scommessa a 1-5</t>
  </si>
  <si>
    <t>Koutsoupias</t>
  </si>
  <si>
    <t>A1</t>
  </si>
  <si>
    <t>Super top (garanzia 15+ gol)</t>
  </si>
  <si>
    <t>Martinez L.</t>
  </si>
  <si>
    <t>A2</t>
  </si>
  <si>
    <t>Primo slot doppia cifra sicura</t>
  </si>
  <si>
    <t>Hojlund</t>
  </si>
  <si>
    <t>A3</t>
  </si>
  <si>
    <t>Prima fascia (10-14 gol attesi)</t>
  </si>
  <si>
    <t>Scamacca</t>
  </si>
  <si>
    <t>A4</t>
  </si>
  <si>
    <t>Terzo slot (8-10 gol)</t>
  </si>
  <si>
    <t>Dybala</t>
  </si>
  <si>
    <t>A5</t>
  </si>
  <si>
    <t>Quarto slot da alternare</t>
  </si>
  <si>
    <t>Colombo</t>
  </si>
  <si>
    <t>A6</t>
  </si>
  <si>
    <t>Scommessa / colpo a 1-10</t>
  </si>
  <si>
    <t>Ghedjemis</t>
  </si>
  <si>
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</si>
  <si>
    <t>DASHBOARD GRAFICI · si aggiornano in automatico man mano che compili le celle gialle del foglio Asta</t>
  </si>
  <si>
    <t>PORTIERI · target + 10 alternative per ogni slot, in ordine di priorità</t>
  </si>
  <si>
    <t>Priorità 1 = target consigliato (già riportato nel foglio Asta). Se un nome è già stato battuto, passa al successivo. "Se non preso prima": nomi condivisi tra slot vicini del reparto.</t>
  </si>
  <si>
    <t>SLOT P1 — Portiere titolare top (clean sheet + modificatore)  ·  budget consigliato: 60 crediti</t>
  </si>
  <si>
    <t>Priorità</t>
  </si>
  <si>
    <t>Giocatore</t>
  </si>
  <si>
    <t>Qt.A</t>
  </si>
  <si>
    <t>FVM</t>
  </si>
  <si>
    <t>Titolarità</t>
  </si>
  <si>
    <t>Rigorista</t>
  </si>
  <si>
    <t>Bonus attesi / punti di forza</t>
  </si>
  <si>
    <t>Prezzo max</t>
  </si>
  <si>
    <t>Note</t>
  </si>
  <si>
    <t>Altissima</t>
  </si>
  <si>
    <t>No</t>
  </si>
  <si>
    <t>18 CS 25/26, miglior porta d'Europa</t>
  </si>
  <si>
    <t>Super top del reparto: 18 clean sheet e 31 gol subiti nella Roma di Gasperini</t>
  </si>
  <si>
    <t>Martinez Jo.</t>
  </si>
  <si>
    <t>Porta della squadra campione d'Italia</t>
  </si>
  <si>
    <t>Promosso titolare dopo l'addio di Sommer; da prendere in coppia con Provedel</t>
  </si>
  <si>
    <t>Butez</t>
  </si>
  <si>
    <t>19 CS 25/26, il migliore per clean sheet</t>
  </si>
  <si>
    <t>Como solido e in crescita: numeri da top assoluto anche per il modificatore</t>
  </si>
  <si>
    <t>Carnesecchi</t>
  </si>
  <si>
    <t>Continuo e premiante col modificatore</t>
  </si>
  <si>
    <t>Certezza assoluta della Dea, gerarchia invariata (vice Sportiello)</t>
  </si>
  <si>
    <t>Maignan</t>
  </si>
  <si>
    <t>Milan</t>
  </si>
  <si>
    <t>Voti alti, para-rigori</t>
  </si>
  <si>
    <t>Con Amorim il Milan riparte da lui: affidabilità da big</t>
  </si>
  <si>
    <t>De Gea</t>
  </si>
  <si>
    <t>Fiorentina</t>
  </si>
  <si>
    <t>Media voto tra le migliori</t>
  </si>
  <si>
    <t>Garanzia Fiorentina: voti altissimi anche quando la squadra soffre</t>
  </si>
  <si>
    <t>Meret</t>
  </si>
  <si>
    <t>Alta</t>
  </si>
  <si>
    <t>CS da prima della classe</t>
  </si>
  <si>
    <t>Allegri lo ha scelto titolare su Milinkovic-Savic: sottovalutato, ottimo rapporto qualità/prezzo</t>
  </si>
  <si>
    <t>Skorupski</t>
  </si>
  <si>
    <t>Bologna da Europa</t>
  </si>
  <si>
    <t>Partito Ravaglia, titolarità blindata; da capire se Tedesco alterna</t>
  </si>
  <si>
    <t>Di Gregorio</t>
  </si>
  <si>
    <t>Juventus</t>
  </si>
  <si>
    <t>Ballottaggio</t>
  </si>
  <si>
    <t>Voti da big quando gioca</t>
  </si>
  <si>
    <t>Situazione Juventus delicata: addio possibile, voci Vicario. Solo con forte sconto</t>
  </si>
  <si>
    <t>Mandas</t>
  </si>
  <si>
    <t>Riflessi top, Lazio da CS</t>
  </si>
  <si>
    <t>Gattuso lo ha scelto come nuovo titolare della Lazio</t>
  </si>
  <si>
    <t>Caprile</t>
  </si>
  <si>
    <t>Cagliari</t>
  </si>
  <si>
    <t>Tra i migliori per media voto 25/26</t>
  </si>
  <si>
    <t>Primissima scelta di Pisacane, portiere da modificatore</t>
  </si>
  <si>
    <t>SLOT P2 — Secondo portiere / coppia o secondo titolare  ·  budget consigliato: 15 crediti</t>
  </si>
  <si>
    <t>Alta (se gioca)</t>
  </si>
  <si>
    <t>Copertura porta Inter</t>
  </si>
  <si>
    <t>Fondamentale in coppia con Martinez: esperienza pronta a subentrare</t>
  </si>
  <si>
    <t>Falcone</t>
  </si>
  <si>
    <t>Media voto top nel 25/26</t>
  </si>
  <si>
    <t>Portiere da modificatore, lusso per leghe numerose</t>
  </si>
  <si>
    <t>Media voto top</t>
  </si>
  <si>
    <t>Alternativa se non preso come P1</t>
  </si>
  <si>
    <t>Okoye</t>
  </si>
  <si>
    <t>Udinese</t>
  </si>
  <si>
    <t>Parate decisive</t>
  </si>
  <si>
    <t>Buon titolare Udinese ma storicamente fragile fisicamente</t>
  </si>
  <si>
    <t>Suzuki</t>
  </si>
  <si>
    <t>Alta (se resta)</t>
  </si>
  <si>
    <t>Affidabilità nei voti</t>
  </si>
  <si>
    <t>Grande affidabilità, ma occhio al mercato: se parte, dentro Corvi/Daffara</t>
  </si>
  <si>
    <t>Bijlow</t>
  </si>
  <si>
    <t>Low cost da titolare</t>
  </si>
  <si>
    <t>Genoa di De Rossi subisce, ma titolarità solida</t>
  </si>
  <si>
    <t>Muric</t>
  </si>
  <si>
    <t>Miglior media voto tra i medi</t>
  </si>
  <si>
    <t>Classico portiere da alternare, deve difendere il posto</t>
  </si>
  <si>
    <t>Stankovic F.</t>
  </si>
  <si>
    <t>Venezia</t>
  </si>
  <si>
    <t>Migliore tra le neopromosse</t>
  </si>
  <si>
    <t>Miglior media voto e modificatore tra le neopromosse (Venezia)</t>
  </si>
  <si>
    <t>Lazio da CS</t>
  </si>
  <si>
    <t>Se non preso come P1</t>
  </si>
  <si>
    <t>Bologna solido</t>
  </si>
  <si>
    <t>Thiam</t>
  </si>
  <si>
    <t>Monza</t>
  </si>
  <si>
    <t>Titolare Monza</t>
  </si>
  <si>
    <t>Neopromossa, ma titolarità utile per completare la coppia</t>
  </si>
  <si>
    <t>SLOT P3 — Terzo portiere a 1-5 crediti  ·  budget consigliato: 5 crediti</t>
  </si>
  <si>
    <t>Media (temporanea)</t>
  </si>
  <si>
    <t>Voti altissimi a tratti nel 25/26</t>
  </si>
  <si>
    <t>Titolare temporaneo del Torino a 1: il Toro cerca un portiere, ma intanto gioca lui</t>
  </si>
  <si>
    <t>Milinkovic-Savic V.</t>
  </si>
  <si>
    <t>Bassa</t>
  </si>
  <si>
    <t>Para-rigori</t>
  </si>
  <si>
    <t>Vice Meret: se le gerarchie si ribaltano è oro colato</t>
  </si>
  <si>
    <t>Desplanches</t>
  </si>
  <si>
    <t>Possibile sorpresa</t>
  </si>
  <si>
    <t>Può soffiare la titolarità a Palmisani nel Frosinone: chiamata a 1-2 che può fruttare</t>
  </si>
  <si>
    <t>Perin</t>
  </si>
  <si>
    <t>Affidabile quando chiamato</t>
  </si>
  <si>
    <t>Nel caos porta Juve potrebbe ritrovare spazio</t>
  </si>
  <si>
    <t>Palmisani</t>
  </si>
  <si>
    <t>Titolare in B col Frosinone</t>
  </si>
  <si>
    <t>Parte favorito ma dovrà lottare con Desplanches</t>
  </si>
  <si>
    <t>Turati</t>
  </si>
  <si>
    <t>Media</t>
  </si>
  <si>
    <t>Possibile rilancio</t>
  </si>
  <si>
    <t>Dopo i capricci può riprendersi la porta del Sassuolo</t>
  </si>
  <si>
    <t>Sportiello</t>
  </si>
  <si>
    <t>Vice affidabile</t>
  </si>
  <si>
    <t>Vice Carnesecchi: copertura per chi ha il titolare Atalanta</t>
  </si>
  <si>
    <t>Daffara</t>
  </si>
  <si>
    <t>Jolly Parma</t>
  </si>
  <si>
    <t>In corsa per la porta del Parma in caso di cessione di Suzuki</t>
  </si>
  <si>
    <t>Terracciano</t>
  </si>
  <si>
    <t>Vice Maignan</t>
  </si>
  <si>
    <t>Copertura per chi ha il titolare Milan</t>
  </si>
  <si>
    <t>Vismara</t>
  </si>
  <si>
    <t>Terzo Atalanta</t>
  </si>
  <si>
    <t>Puro tappabuchi da ultimo slot</t>
  </si>
  <si>
    <t>Sherri</t>
  </si>
  <si>
    <t>Vice Caprile</t>
  </si>
  <si>
    <t>Copertura Cagliari</t>
  </si>
  <si>
    <t>DIFENSORI · target + 10 alternative per ogni slot, in ordine di priorità</t>
  </si>
  <si>
    <t>SLOT D1 — Top assoluto da bonus (attaccante aggiunto)  ·  budget consigliato: 55 crediti</t>
  </si>
  <si>
    <t>Vale un +3 a giornata col modificatore</t>
  </si>
  <si>
    <t>Top assoluto: non è nemmeno un difensore, è l'investimento migliore possibile per la difesa</t>
  </si>
  <si>
    <t>5 gol nel 25/26, può migliorare</t>
  </si>
  <si>
    <t>Può fare una stagione 'alla Gosens' nella Roma di Gasperini: exploit possibile</t>
  </si>
  <si>
    <t>Bremer</t>
  </si>
  <si>
    <t>4 gol e 3 assist, migliore fanta-media dopo Dimarco</t>
  </si>
  <si>
    <t>Primo slot se gli infortuni lo lasciano in pace</t>
  </si>
  <si>
    <t>Mancini</t>
  </si>
  <si>
    <t>4 gol, fanta-media 6,5</t>
  </si>
  <si>
    <t>Leader assoluto della Roma di Gasperini</t>
  </si>
  <si>
    <t>Voti alti da leader difensivo</t>
  </si>
  <si>
    <t>Perno della miglior difesa d'Italia</t>
  </si>
  <si>
    <t>Pavlovic</t>
  </si>
  <si>
    <t>Gol di testa sui piazzati</t>
  </si>
  <si>
    <t>Molto prolifico, titolarissimo del Milan</t>
  </si>
  <si>
    <t>Bastoni</t>
  </si>
  <si>
    <t>Assist dalla difesa a tre</t>
  </si>
  <si>
    <t>Qualità e continuità, sempre da modificatore</t>
  </si>
  <si>
    <t>Rrahmani</t>
  </si>
  <si>
    <t>Perno del Napoli di Allegri</t>
  </si>
  <si>
    <t>Voti costanti nella difesa campione</t>
  </si>
  <si>
    <t>Bisseck</t>
  </si>
  <si>
    <t>Voti alti e bonus</t>
  </si>
  <si>
    <t>Può crescere in maniera definitiva e trasformarsi in un top</t>
  </si>
  <si>
    <t>Solet</t>
  </si>
  <si>
    <t>Qualità in impostazione + gol</t>
  </si>
  <si>
    <t>Dominante nell'Udinese, sempre da bonus</t>
  </si>
  <si>
    <t>N'Dicka</t>
  </si>
  <si>
    <t>Gol sui piazzati</t>
  </si>
  <si>
    <t>Sempre presente, difesa a tre di Gasperini lo esalta</t>
  </si>
  <si>
    <t>SLOT D2 — Esterno da bonus (gol+assist)  ·  budget consigliato: 25 crediti</t>
  </si>
  <si>
    <t>Quinto a tutta fascia, 5+ gol attesi</t>
  </si>
  <si>
    <t>Prima alternativa a Dimarco come attaccante aggiunto</t>
  </si>
  <si>
    <t>Di Lorenzo</t>
  </si>
  <si>
    <t>Gol+assist da capitano</t>
  </si>
  <si>
    <t>Sempre in campo, proiezione offensiva costante</t>
  </si>
  <si>
    <t>Dodò</t>
  </si>
  <si>
    <t>Assist a raffica</t>
  </si>
  <si>
    <t>Padrone della fascia destra della Fiorentina</t>
  </si>
  <si>
    <t>Cambiaso</t>
  </si>
  <si>
    <t>Jolly su entrambe le fasce</t>
  </si>
  <si>
    <t>Ottimo rapporto qualità-prezzo, con Spalletti gioca sempre</t>
  </si>
  <si>
    <t>Zappacosta</t>
  </si>
  <si>
    <t>Spinta costante</t>
  </si>
  <si>
    <t>Con Sarri torna al ruolo di quinto puro</t>
  </si>
  <si>
    <t>Spinazzola</t>
  </si>
  <si>
    <t>Assist e giocate da esterno</t>
  </si>
  <si>
    <t>Spesso sottovalutato ma sempre prezioso</t>
  </si>
  <si>
    <t>Cross e piazzati</t>
  </si>
  <si>
    <t>Titolare a sinistra nel Bologna da Europa</t>
  </si>
  <si>
    <t>Valeri</t>
  </si>
  <si>
    <t>Alternativa</t>
  </si>
  <si>
    <t>Piazzati + possibili rigori</t>
  </si>
  <si>
    <t>Nel Parma può battere anche i rigori se parte Pellegrino</t>
  </si>
  <si>
    <t>Couto</t>
  </si>
  <si>
    <t>Spinta nel Como di Fabregas</t>
  </si>
  <si>
    <t>Corsia destra, bonus in arrivo</t>
  </si>
  <si>
    <t>Bellanova</t>
  </si>
  <si>
    <t>Quasi doppia cifra di assist</t>
  </si>
  <si>
    <t>Garanzia di assist assoluta</t>
  </si>
  <si>
    <t>Bartesaghi</t>
  </si>
  <si>
    <t>Crescita continua</t>
  </si>
  <si>
    <t>Titolare a sinistra nel Milan di Amorim</t>
  </si>
  <si>
    <t>SLOT D3 — Centrale big da modificatore  ·  budget consigliato: 15 crediti</t>
  </si>
  <si>
    <t>Modificatore garantito</t>
  </si>
  <si>
    <t>Se non preso come D1</t>
  </si>
  <si>
    <t>Assist + modificatore</t>
  </si>
  <si>
    <t>Napoli miglior difesa</t>
  </si>
  <si>
    <t>Gol + voti</t>
  </si>
  <si>
    <t>Bonus dal nulla</t>
  </si>
  <si>
    <t>Kalulu</t>
  </si>
  <si>
    <t>Doppio ruolo Dd;Dc</t>
  </si>
  <si>
    <t>Sempre titolare nella Juventus di Spalletti</t>
  </si>
  <si>
    <t>Piazzati</t>
  </si>
  <si>
    <t>Stones</t>
  </si>
  <si>
    <t>Qualità Premier</t>
  </si>
  <si>
    <t>Nuovo acquisto Inter: qualità enorme, da monitorare la condizione</t>
  </si>
  <si>
    <t>Gila</t>
  </si>
  <si>
    <t>Voti costanti</t>
  </si>
  <si>
    <t>Passato al Milan, sarà perno della difesa</t>
  </si>
  <si>
    <t>5 gol nel 25/26</t>
  </si>
  <si>
    <t>Il pezzo pregiato per una difesa 'in provincia'; occhio ai gialli</t>
  </si>
  <si>
    <t>Ramon</t>
  </si>
  <si>
    <t>Como in crescita</t>
  </si>
  <si>
    <t>Titolare nella difesa di Fabregas</t>
  </si>
  <si>
    <t>SLOT D4 — Centrale affidabile da buon voto  ·  budget consigliato: 12 crediti</t>
  </si>
  <si>
    <t>Prestanza in entrambe le aree</t>
  </si>
  <si>
    <t>Perno della difesa a tre di De Rossi, reduce dal Mondiale</t>
  </si>
  <si>
    <t>Fisicità e gol</t>
  </si>
  <si>
    <t>Se non preso prima</t>
  </si>
  <si>
    <t>Scalvini</t>
  </si>
  <si>
    <t>Rilancio con Sarri</t>
  </si>
  <si>
    <t>Qualità da top se sta bene fisicamente</t>
  </si>
  <si>
    <t>Hermoso</t>
  </si>
  <si>
    <t>Tornato ai livelli Atletico</t>
  </si>
  <si>
    <t>Con Gasperini rendimento alto; occhio ai 9 gialli</t>
  </si>
  <si>
    <t>Mina</t>
  </si>
  <si>
    <t>Gol e carisma</t>
  </si>
  <si>
    <t>Sempre pericoloso in area avversaria</t>
  </si>
  <si>
    <t>Dragusin</t>
  </si>
  <si>
    <t>Rilancio in viola</t>
  </si>
  <si>
    <t>Nuovo perno Fiorentina</t>
  </si>
  <si>
    <t>Lucumì</t>
  </si>
  <si>
    <t>Titolare fisso nel Bologna europeo</t>
  </si>
  <si>
    <t>Chalobah T.</t>
  </si>
  <si>
    <t>Fisicità Premier</t>
  </si>
  <si>
    <t>Nuovo acquisto Como, titolare designato</t>
  </si>
  <si>
    <t>Vasquez</t>
  </si>
  <si>
    <t>Doppio ruolo</t>
  </si>
  <si>
    <t>Sempre in campo nel Genoa</t>
  </si>
  <si>
    <t>Koulierakis</t>
  </si>
  <si>
    <t>Nuovo perno Roma</t>
  </si>
  <si>
    <t>Appena arrivato: lo volevano anche Inter e Juve</t>
  </si>
  <si>
    <t>Kempf</t>
  </si>
  <si>
    <t>CS del Como</t>
  </si>
  <si>
    <t>Titolare della miglior difesa 'di provincia'</t>
  </si>
  <si>
    <t>SLOT D5 — Esterno titolare media fascia  ·  budget consigliato: 10 crediti</t>
  </si>
  <si>
    <t>Se non preso come D2</t>
  </si>
  <si>
    <t>Piazzati Parma</t>
  </si>
  <si>
    <t>Fascia Milan</t>
  </si>
  <si>
    <t>Capitano tuttofare</t>
  </si>
  <si>
    <t>Gioca ovunque nel Parma, sempre titolare (B;Dd;E)</t>
  </si>
  <si>
    <t>Norton-Cuffy</t>
  </si>
  <si>
    <t>Spinta atletica</t>
  </si>
  <si>
    <t>Corsia del Genoa a tutta fascia</t>
  </si>
  <si>
    <t>Vojvoda</t>
  </si>
  <si>
    <t>Bonus a sorpresa</t>
  </si>
  <si>
    <t>Titolare nell'Udinese</t>
  </si>
  <si>
    <t>Zortea</t>
  </si>
  <si>
    <t>Gol dal fondo</t>
  </si>
  <si>
    <t>Nel Bologna porta gol dalla corsia (5 nel 25/26 col Cagliari)</t>
  </si>
  <si>
    <t>Bernasconi</t>
  </si>
  <si>
    <t>Rivelazione Atalanta</t>
  </si>
  <si>
    <t>Quinto di Sarri in rampa di lancio</t>
  </si>
  <si>
    <t>Valle</t>
  </si>
  <si>
    <t>Como offensivo</t>
  </si>
  <si>
    <t>Titolare a sinistra nel Como</t>
  </si>
  <si>
    <t>Tavares N.</t>
  </si>
  <si>
    <t>Assist devastanti quando gioca</t>
  </si>
  <si>
    <t>Rischio panchina/infortuni ma potenziale enorme</t>
  </si>
  <si>
    <t>Celik</t>
  </si>
  <si>
    <t>Braccetto affidabile</t>
  </si>
  <si>
    <t>Titolare nella Roma di Gasperini</t>
  </si>
  <si>
    <t>SLOT D6 — Titolare di provincia  ·  budget consigliato: 6 crediti</t>
  </si>
  <si>
    <t>Titolarità blindata</t>
  </si>
  <si>
    <t>Se non preso come D5</t>
  </si>
  <si>
    <t>Gol dalla fascia</t>
  </si>
  <si>
    <t>Quinto di Sarri</t>
  </si>
  <si>
    <t>Esterno Como</t>
  </si>
  <si>
    <t>Mangas</t>
  </si>
  <si>
    <t>Arrivato per fare il titolare</t>
  </si>
  <si>
    <t>Fascia sinistra del Monza</t>
  </si>
  <si>
    <t>Jimenez A.</t>
  </si>
  <si>
    <t>Doppia fascia</t>
  </si>
  <si>
    <t>Titolare nella Fiorentina</t>
  </si>
  <si>
    <t>CS Como</t>
  </si>
  <si>
    <t>Se non preso come D4</t>
  </si>
  <si>
    <t>Gol pesanti</t>
  </si>
  <si>
    <t>Scommessa Frosinone</t>
  </si>
  <si>
    <t>Una delle scommesse più interessanti tra le neopromosse</t>
  </si>
  <si>
    <t>Correia T.</t>
  </si>
  <si>
    <t>Titolare Venezia</t>
  </si>
  <si>
    <t>Buona chiamata low cost tra le neopromosse</t>
  </si>
  <si>
    <t>SLOT D7 — Low cost titolare  ·  budget consigliato: 4 crediti</t>
  </si>
  <si>
    <t>Titolare neopromossa</t>
  </si>
  <si>
    <t>Se non preso come D6</t>
  </si>
  <si>
    <t>Potenziale assist</t>
  </si>
  <si>
    <t>Rischio alto, resa potenziale altissima</t>
  </si>
  <si>
    <t>Biraghi</t>
  </si>
  <si>
    <t>Tutti i piazzati del Torino</t>
  </si>
  <si>
    <t>Una stagione intera da titolare può riportarlo ad alti livelli</t>
  </si>
  <si>
    <t>Calvani</t>
  </si>
  <si>
    <t>Scommessa pura tra le neopromosse</t>
  </si>
  <si>
    <t>Perez M.</t>
  </si>
  <si>
    <t>Tappabuchi a 1</t>
  </si>
  <si>
    <t>SLOT D8 — Scommessa / parcheggio infortunati  ·  budget consigliato: 3 crediti</t>
  </si>
  <si>
    <t>Rientro autunno</t>
  </si>
  <si>
    <t>Top a regime</t>
  </si>
  <si>
    <t>Infortunato: prendilo a pochi crediti e parcheggialo come 8° slot</t>
  </si>
  <si>
    <t>Buongiorno</t>
  </si>
  <si>
    <t>Stesso discorso di Hien: scommessa da rientro</t>
  </si>
  <si>
    <t>Se non preso come D7</t>
  </si>
  <si>
    <t>Scommessa a 1-2</t>
  </si>
  <si>
    <t>Tappabuchi</t>
  </si>
  <si>
    <t>Assist</t>
  </si>
  <si>
    <t>Scommessa di lusso</t>
  </si>
  <si>
    <t>Marusic</t>
  </si>
  <si>
    <t>Usato sicuro sulle fasce</t>
  </si>
  <si>
    <t>Scommessa citata dalle guide: esperienza e titolarità nella Lazio</t>
  </si>
  <si>
    <t>CENTROCAMPISTI · target + 10 alternative per ogni slot, in ordine di priorità</t>
  </si>
  <si>
    <t>SLOT C1 — Top di reparto (vince il fanta)  ·  budget consigliato: 90 crediti</t>
  </si>
  <si>
    <t>In doppia cifra nel 25/26, gol+assist</t>
  </si>
  <si>
    <t>Il centrocampista che vi fa vincere il fanta: talento generazionale del Como</t>
  </si>
  <si>
    <t>McTominay</t>
  </si>
  <si>
    <t>Doppia cifra ripetibile</t>
  </si>
  <si>
    <t>MVP dello scudetto: inserimenti e gol pesanti, prima chiamata del reparto</t>
  </si>
  <si>
    <t>Sì</t>
  </si>
  <si>
    <t>Rigori + punizioni + tiro da fuori</t>
  </si>
  <si>
    <t>1° slot conservatissimo: la solita garanzia</t>
  </si>
  <si>
    <t>Orsolini</t>
  </si>
  <si>
    <t>Sì (in ballottaggio)</t>
  </si>
  <si>
    <t>Doppia cifra nel 25/26</t>
  </si>
  <si>
    <t>Attenzione: l'arrivo di Dovbyk mette in discussione i rigori, Bernardeschi alternativa</t>
  </si>
  <si>
    <t>Pulisic</t>
  </si>
  <si>
    <t>Gol+assist</t>
  </si>
  <si>
    <t>Cerca il grande rilancio con Amorim: quota bonus da top</t>
  </si>
  <si>
    <t>Rabiot</t>
  </si>
  <si>
    <t>Inserimenti e gol</t>
  </si>
  <si>
    <t>Perno del Milan di Amorim</t>
  </si>
  <si>
    <t>Baturina</t>
  </si>
  <si>
    <t>Talento in esplosione</t>
  </si>
  <si>
    <t>Hype in crescita: la qualità c'è tutta</t>
  </si>
  <si>
    <t>Zaniolo</t>
  </si>
  <si>
    <t>Altissima (se resta)</t>
  </si>
  <si>
    <t>Attaccante aggiunto</t>
  </si>
  <si>
    <t>A Udine ha trovato la sua dimensione: rinnovato, è un sì convinto</t>
  </si>
  <si>
    <t>Da Cunha</t>
  </si>
  <si>
    <t>Gol+assist nel Como</t>
  </si>
  <si>
    <t>Motore della squadra rivelazione</t>
  </si>
  <si>
    <t>Barella</t>
  </si>
  <si>
    <t>Voti alti costanti + bonus</t>
  </si>
  <si>
    <t>Sempre titolare, garanzia di rendimento</t>
  </si>
  <si>
    <t>Atta</t>
  </si>
  <si>
    <t>Grandi gioie in viola</t>
  </si>
  <si>
    <t>Alla Fiorentina può esplodere definitivamente</t>
  </si>
  <si>
    <t>SLOT C2 — Secondo top / rigorista  ·  budget consigliato: 70 crediti</t>
  </si>
  <si>
    <t>Rigorista Inter</t>
  </si>
  <si>
    <t>Se non preso come C1</t>
  </si>
  <si>
    <t>Bonus pesanti</t>
  </si>
  <si>
    <t>Bonus da top</t>
  </si>
  <si>
    <t>Sì (quando manca Lukaku)</t>
  </si>
  <si>
    <t>Calciava praticamente tutto</t>
  </si>
  <si>
    <t>Prima e dopo l'infortunio batteva tutti i piazzati del Napoli</t>
  </si>
  <si>
    <t>Zaccagni</t>
  </si>
  <si>
    <t>Sulla carta un top</t>
  </si>
  <si>
    <t>La deludente stagione lo ha fatto retrocedere: mini investimento che vale la pena</t>
  </si>
  <si>
    <t>Vlasic</t>
  </si>
  <si>
    <t>5-6 gol + rigori</t>
  </si>
  <si>
    <t>Si è conquistato il ruolo di rigorista del Torino: intoccabile</t>
  </si>
  <si>
    <t>Garanzia</t>
  </si>
  <si>
    <t>Talento</t>
  </si>
  <si>
    <t>SLOT C3 — Trequartista da bonus  ·  budget consigliato: 40 crediti</t>
  </si>
  <si>
    <t>Piazzati del Napoli</t>
  </si>
  <si>
    <t>Se non preso come C2</t>
  </si>
  <si>
    <t>Rilancio atteso</t>
  </si>
  <si>
    <t>Equilibrio voti alti + bonus</t>
  </si>
  <si>
    <t>Il primo nome da chiamare tra i centrocampisti della Lazio</t>
  </si>
  <si>
    <t>Gudmundsson A.</t>
  </si>
  <si>
    <t>Qualità sulla trequarti</t>
  </si>
  <si>
    <t>Se sta bene è un fattore</t>
  </si>
  <si>
    <t>Samardzic</t>
  </si>
  <si>
    <t>2/2 dal dischetto nel 25/26</t>
  </si>
  <si>
    <t>Con Sarri può prendersi rigori e piazzati quando in campo</t>
  </si>
  <si>
    <t>Mastantuono</t>
  </si>
  <si>
    <t>Talento argentino</t>
  </si>
  <si>
    <t>Colpo Fiorentina: qualità immensa, hype da gestire</t>
  </si>
  <si>
    <t>Conceicao</t>
  </si>
  <si>
    <t>Strappi e assist</t>
  </si>
  <si>
    <t>Nella Juve di Spalletti può esplodere</t>
  </si>
  <si>
    <t>Modric</t>
  </si>
  <si>
    <t>Piazzati e qualità</t>
  </si>
  <si>
    <t>Il Pallone d'Oro gestirà i piazzati del Milan</t>
  </si>
  <si>
    <t>Rodriguez Je.</t>
  </si>
  <si>
    <t>8 assist nel 25/26, cambio ruolo A→C</t>
  </si>
  <si>
    <t>Jolly di prima fascia: da centrocampista merita un buon investimento</t>
  </si>
  <si>
    <t>Isaksen</t>
  </si>
  <si>
    <t>Alta (post-infortunio)</t>
  </si>
  <si>
    <t>Parte con l'handicap dell'infortunio: sfruttalo per pagarlo meno</t>
  </si>
  <si>
    <t>SLOT C4 — Titolare da potenziale doppia cifra  ·  budget consigliato: 25 crediti</t>
  </si>
  <si>
    <t>Voti+bonus</t>
  </si>
  <si>
    <t>Se non preso come C3</t>
  </si>
  <si>
    <t>Da bonus</t>
  </si>
  <si>
    <t>Ederson D.S.</t>
  </si>
  <si>
    <t>Box-to-box</t>
  </si>
  <si>
    <t>1 su 1 dal dischetto nel 25/26: con Sarri resta perno</t>
  </si>
  <si>
    <t>Zielinski</t>
  </si>
  <si>
    <t>Qualità e gol</t>
  </si>
  <si>
    <t>Nell'Inter di Chivu ha ritrovato spazio</t>
  </si>
  <si>
    <t>Politano</t>
  </si>
  <si>
    <t>Sempre titolare</t>
  </si>
  <si>
    <t>Garanzia di voti nel Napoli campione</t>
  </si>
  <si>
    <t>Saelemaekers</t>
  </si>
  <si>
    <t>Doppio ruolo E;W</t>
  </si>
  <si>
    <t>Titolarissimo nel Milan di Amorim</t>
  </si>
  <si>
    <t>Zambo Anguissa</t>
  </si>
  <si>
    <t>Fisicità dominante</t>
  </si>
  <si>
    <t>Rowe</t>
  </si>
  <si>
    <t>Strappi in velocità</t>
  </si>
  <si>
    <t>Nuovo esterno del Bologna</t>
  </si>
  <si>
    <t>Baldanzi</t>
  </si>
  <si>
    <t>Gioca a ridosso della punta</t>
  </si>
  <si>
    <t>De Rossi lo ha voluto al Genoa: alla lunga sarà titolare</t>
  </si>
  <si>
    <t>McKennie</t>
  </si>
  <si>
    <t>Jolly tuttofare</t>
  </si>
  <si>
    <t>Gioca sempre, ovunque</t>
  </si>
  <si>
    <t>SLOT C5 — Jolly da bonus (cambi ruolo inclusi)  ·  budget consigliato: 15 crediti</t>
  </si>
  <si>
    <t>3 gol e 3 assist nel 25/26</t>
  </si>
  <si>
    <t>Il più classico dei jolly a centrocampo</t>
  </si>
  <si>
    <t>Odgaard</t>
  </si>
  <si>
    <t>Trequartista da inserimento</t>
  </si>
  <si>
    <t>Nel Bologna di Tedesco parte titolare</t>
  </si>
  <si>
    <t>Sucic P.</t>
  </si>
  <si>
    <t>Bonus in crescita</t>
  </si>
  <si>
    <t>Lo metti sempre, titolare o subentrante: Chivu ruota i tre di centrocampo</t>
  </si>
  <si>
    <t>Cambiaghi</t>
  </si>
  <si>
    <t>Cambio ruolo A→C</t>
  </si>
  <si>
    <t>Decisamente più appetibile con il cambio ruolo: jolly da sfruttare</t>
  </si>
  <si>
    <t>Bernardeschi</t>
  </si>
  <si>
    <t>Piazzati + vice-rigorista</t>
  </si>
  <si>
    <t>Prima alternativa dal dischetto in casa Bologna</t>
  </si>
  <si>
    <t>5-6 gol in canna</t>
  </si>
  <si>
    <t>Intoccabile nel Sassuolo: terzo slot ideale</t>
  </si>
  <si>
    <t>Zhegrova</t>
  </si>
  <si>
    <t>Strappi da bonus</t>
  </si>
  <si>
    <t>Nella Juve può ritagliarsi spazio importante</t>
  </si>
  <si>
    <t>Ekkelenkamp</t>
  </si>
  <si>
    <t>Da schierare sempre</t>
  </si>
  <si>
    <t>A prescindere dal minutaggio, completa il centrocampo</t>
  </si>
  <si>
    <t>Casadei</t>
  </si>
  <si>
    <t>Inserimenti</t>
  </si>
  <si>
    <t>Perno del Torino di Baroni</t>
  </si>
  <si>
    <t>Konè M.</t>
  </si>
  <si>
    <t>Motore della Roma</t>
  </si>
  <si>
    <t>Pellegrini Lo.</t>
  </si>
  <si>
    <t>Qualità nota</t>
  </si>
  <si>
    <t>Con Gasperini deve riconquistarsi il posto</t>
  </si>
  <si>
    <t>SLOT C6 — Titolare da buon voto  ·  budget consigliato: 12 crediti</t>
  </si>
  <si>
    <t>5-6 gol</t>
  </si>
  <si>
    <t>Se non preso come C5</t>
  </si>
  <si>
    <t>Buon voto garantito</t>
  </si>
  <si>
    <t>Mandragora</t>
  </si>
  <si>
    <t>Spesso sottovalutato</t>
  </si>
  <si>
    <t>Piazzati e tiro da fuori nella Fiorentina</t>
  </si>
  <si>
    <t>Ndour</t>
  </si>
  <si>
    <t>Può esplodere definitivamente</t>
  </si>
  <si>
    <t>Fisicità e inserimenti in viola</t>
  </si>
  <si>
    <t>Perrone</t>
  </si>
  <si>
    <t>Regista del Como</t>
  </si>
  <si>
    <t>Sempre in campo con Fabregas</t>
  </si>
  <si>
    <t>Possibile</t>
  </si>
  <si>
    <t>Batte tutti i piazzati del Lecce</t>
  </si>
  <si>
    <t>Il faro del Lecce: potrebbe battere anche i rigori</t>
  </si>
  <si>
    <t>Karlstrom</t>
  </si>
  <si>
    <t>Certezza di titolarità</t>
  </si>
  <si>
    <t>Sempre in campo nell'Udinese</t>
  </si>
  <si>
    <t>Keita M.</t>
  </si>
  <si>
    <t>Perno del Parma</t>
  </si>
  <si>
    <t>Moro N.</t>
  </si>
  <si>
    <t>Giocherà parecchio</t>
  </si>
  <si>
    <t>Nel Bologna avrà tanto spazio quest'anno</t>
  </si>
  <si>
    <t>SLOT C7 — Low cost titolare / piazzati  ·  budget consigliato: 8 crediti</t>
  </si>
  <si>
    <t>Piazzati Lecce</t>
  </si>
  <si>
    <t>Se non preso come C6</t>
  </si>
  <si>
    <t>Pessina</t>
  </si>
  <si>
    <t>Rigorista del Monza</t>
  </si>
  <si>
    <t>Capitano e primo rigorista: garanzia nella neopromossa</t>
  </si>
  <si>
    <t>Bernabè</t>
  </si>
  <si>
    <t>Nel Parma può ereditare i rigori se parte Pellegrino</t>
  </si>
  <si>
    <t>Milla</t>
  </si>
  <si>
    <t>Lo ha voluto Fabregas</t>
  </si>
  <si>
    <t>Attenzione: nel Como può ritagliarsi spazio da subito</t>
  </si>
  <si>
    <t>Basic</t>
  </si>
  <si>
    <t>Da bonus tra le neopromosse</t>
  </si>
  <si>
    <t>Titolare nel Venezia, tiro da fuori</t>
  </si>
  <si>
    <t>Busio</t>
  </si>
  <si>
    <t>Torna in A con più esperienza</t>
  </si>
  <si>
    <t>Perno del centrocampo del Venezia</t>
  </si>
  <si>
    <t>Calò</t>
  </si>
  <si>
    <t>Piazzati del Frosinone</t>
  </si>
  <si>
    <t>Batte tutto: già a segno in amichevole con la Lazio</t>
  </si>
  <si>
    <t>Perez K.</t>
  </si>
  <si>
    <t>Qualità nel Venezia</t>
  </si>
  <si>
    <t>Kike Perez, da bonus tra le neopromosse</t>
  </si>
  <si>
    <t>Traorè Hj.</t>
  </si>
  <si>
    <t>Ha già dimostrato in A</t>
  </si>
  <si>
    <t>Al Genoa di De Rossi può tornare giocatore da fanta</t>
  </si>
  <si>
    <t>SLOT C8 — Scommessa a 1-5  ·  budget consigliato: 5 crediti</t>
  </si>
  <si>
    <t>Gol e fisicità in B</t>
  </si>
  <si>
    <t>Colpo a 1-4 tra le neopromosse: giocherà tanto ed è da bonus</t>
  </si>
  <si>
    <t>Spazio nel Bologna</t>
  </si>
  <si>
    <t>Se non preso come C7</t>
  </si>
  <si>
    <t>Scommessa di lusso se il prezzo crolla</t>
  </si>
  <si>
    <t>Stankovic A.</t>
  </si>
  <si>
    <t>Talento Inter</t>
  </si>
  <si>
    <t>Puro parcheggio a 1: minutaggio da verificare</t>
  </si>
  <si>
    <t>ATTACCANTI · target + 10 alternative per ogni slot, in ordine di priorità</t>
  </si>
  <si>
    <t>SLOT A1 — Super top (garanzia 15+ gol)  ·  budget consigliato: 220 crediti</t>
  </si>
  <si>
    <t>Garanzia 15+ gol</t>
  </si>
  <si>
    <t>Il capitano dell'Inter resta il punto di riferimento dei fantallenatori</t>
  </si>
  <si>
    <t>Malen</t>
  </si>
  <si>
    <t>15+ gol, tira TUTTI i rigori della Roma</t>
  </si>
  <si>
    <t>Zero dubbi: se è in campo tira lui, anche con Dybala in campo. FVM 365</t>
  </si>
  <si>
    <t>Thuram</t>
  </si>
  <si>
    <t>13 gol e 6 assist nel 25/26</t>
  </si>
  <si>
    <t>Può migliorare lo score con più continuità fisica</t>
  </si>
  <si>
    <t>Doppia cifra sicura</t>
  </si>
  <si>
    <t>Punta del Napoli campione: terzo nelle gerarchie rigori</t>
  </si>
  <si>
    <t>Ramos G.</t>
  </si>
  <si>
    <t>Doppia cifra + possibili rigori</t>
  </si>
  <si>
    <t>Il gioco di Amorim esalterà le sue caratteristiche; insidia Nkunku dal dischetto</t>
  </si>
  <si>
    <t>Kolo Muani</t>
  </si>
  <si>
    <t>Doppia cifra</t>
  </si>
  <si>
    <t>Riferimento offensivo della Juve di Spalletti</t>
  </si>
  <si>
    <t>Kean</t>
  </si>
  <si>
    <t>Riscatto totale atteso</t>
  </si>
  <si>
    <t>Ci aspettiamo il suo totale riscatto in viola</t>
  </si>
  <si>
    <t>Yildiz</t>
  </si>
  <si>
    <t>Gol+assist da top</t>
  </si>
  <si>
    <t>Quota bonus da top tra gol e assist</t>
  </si>
  <si>
    <t>Douvikas</t>
  </si>
  <si>
    <t>Doppia cifra nel Como</t>
  </si>
  <si>
    <t>Bomber della squadra rivelazione</t>
  </si>
  <si>
    <t>Alta (se sta bene)</t>
  </si>
  <si>
    <t>3/3 nel 25/26 dal dischetto</t>
  </si>
  <si>
    <t>Protagonista totale con Sarri, infortuni permettendo</t>
  </si>
  <si>
    <t>Davis K.</t>
  </si>
  <si>
    <t>Doppia cifra + rigori Udinese</t>
  </si>
  <si>
    <t>Primo rigorista dell'Udinese</t>
  </si>
  <si>
    <t>SLOT A2 — Primo slot doppia cifra sicura  ·  budget consigliato: 150 crediti</t>
  </si>
  <si>
    <t>Se non preso come A1</t>
  </si>
  <si>
    <t>Riscatto</t>
  </si>
  <si>
    <t>Rigorista Atalanta</t>
  </si>
  <si>
    <t>Rigorista Udinese</t>
  </si>
  <si>
    <t>Leao</t>
  </si>
  <si>
    <t>Tra gol e assist quota bonus da top, listato A puro</t>
  </si>
  <si>
    <t>Berardi</t>
  </si>
  <si>
    <t>Il rigorista principe del Sassuolo</t>
  </si>
  <si>
    <t>Capitano e rigorista anche nel nuovo corso Aquilani</t>
  </si>
  <si>
    <t>Krstovic</t>
  </si>
  <si>
    <t>Doppia cifra potenziale</t>
  </si>
  <si>
    <t>Nell'Atalanta di Sarri si gioca lo slot con Scamacca</t>
  </si>
  <si>
    <t>SLOT A3 — Prima fascia (10-14 gol attesi)  ·  budget consigliato: 80 crediti</t>
  </si>
  <si>
    <t>Dovbyk</t>
  </si>
  <si>
    <t>27/32 rigori in carriera</t>
  </si>
  <si>
    <t>Può essere la grande rivelazione: insidia Orsolini dal dischetto</t>
  </si>
  <si>
    <t>Se non preso come A2</t>
  </si>
  <si>
    <t>De Ketelaere</t>
  </si>
  <si>
    <t>Parecchi bonus attesi</t>
  </si>
  <si>
    <t>Valida alternativa dagli 11 metri con Sarri</t>
  </si>
  <si>
    <t>Bonus</t>
  </si>
  <si>
    <t>Esposito F.P.</t>
  </si>
  <si>
    <t>Il futuro dell'Inter</t>
  </si>
  <si>
    <t>Pio Esposito: spazio garantito tra campionato e coppe</t>
  </si>
  <si>
    <t>Laurientè</t>
  </si>
  <si>
    <t>Vicino alla doppia cifra</t>
  </si>
  <si>
    <t>Uno dei tre del Sassuolo che danno maggiori garanzie</t>
  </si>
  <si>
    <t>Simeone</t>
  </si>
  <si>
    <t>Garra e gol nel Torino</t>
  </si>
  <si>
    <t>Titolare fisso, doppia cifra possibile</t>
  </si>
  <si>
    <t>Pellegrino M.</t>
  </si>
  <si>
    <t>Rigorista del Parma</t>
  </si>
  <si>
    <t>Molto richiesto sul mercato, ma finché resta tira lui</t>
  </si>
  <si>
    <t>SLOT A4 — Terzo slot (8-10 gol)  ·  budget consigliato: 45 crediti</t>
  </si>
  <si>
    <t>Alta (gestione)</t>
  </si>
  <si>
    <t>Gol+assist quando gioca</t>
  </si>
  <si>
    <t>Specialista dal dischetto con Malen: a questa quota è un affare se sta bene</t>
  </si>
  <si>
    <t>Castro S.</t>
  </si>
  <si>
    <t>Alta (rotazioni)</t>
  </si>
  <si>
    <t>Fiuto del gol</t>
  </si>
  <si>
    <t>Meno spazio che a Bologna, ma Gasperini ruoterà parecchio con la Champions</t>
  </si>
  <si>
    <t>Nkunku</t>
  </si>
  <si>
    <t>Infallibile dal dischetto nel 25/26</t>
  </si>
  <si>
    <t>Può tornare al top con Amorim, considerando che può battere i rigori</t>
  </si>
  <si>
    <t>Raspadori</t>
  </si>
  <si>
    <t>Parecchi bonus con CDK</t>
  </si>
  <si>
    <t>Nell'Atalanta di Sarri può fare la stagione della consacrazione</t>
  </si>
  <si>
    <t>Pinamonti</t>
  </si>
  <si>
    <t>Doppia cifra possibile</t>
  </si>
  <si>
    <t>Garanzia del Sassuolo, prima alternativa a Berardi dal dischetto</t>
  </si>
  <si>
    <t>Esposito Se.</t>
  </si>
  <si>
    <t>Titolarissimo a Cagliari</t>
  </si>
  <si>
    <t>Sebastiano: centravanti titolare, crescita attesa</t>
  </si>
  <si>
    <t>Soulè</t>
  </si>
  <si>
    <t>Terza opzione rigori nella Roma</t>
  </si>
  <si>
    <t>Adams A.</t>
  </si>
  <si>
    <t>10 gol nella Liga col Siviglia</t>
  </si>
  <si>
    <t>Akor Adams: scommessa interessante nel Venezia</t>
  </si>
  <si>
    <t>Santos A.</t>
  </si>
  <si>
    <t>Anche da attaccante ottima chiamata</t>
  </si>
  <si>
    <t>Alisson Santos (Napoli): W;A, da schierare spesso</t>
  </si>
  <si>
    <t>Kevin Carlos</t>
  </si>
  <si>
    <t>Fisico da bomber</t>
  </si>
  <si>
    <t>Riferimento offensivo del Cagliari</t>
  </si>
  <si>
    <t>Tourè E.</t>
  </si>
  <si>
    <t>Scommessa nel Parma</t>
  </si>
  <si>
    <t>El Bilal Touré: potenziale enorme se sta bene</t>
  </si>
  <si>
    <t>SLOT A5 — Quarto slot da alternare  ·  budget consigliato: 20 crediti</t>
  </si>
  <si>
    <t>Impatto da titolare</t>
  </si>
  <si>
    <t>Ottimo impatto atteso nel Genoa di De Rossi</t>
  </si>
  <si>
    <t>Diao</t>
  </si>
  <si>
    <t>Può ritrovare continuità e bonus</t>
  </si>
  <si>
    <t>Nel Como di Fabregas gli spazi non mancano</t>
  </si>
  <si>
    <t>Lukaku</t>
  </si>
  <si>
    <t>Rientro (infortunio)</t>
  </si>
  <si>
    <t>Sì (quando in campo)</t>
  </si>
  <si>
    <t>Rigorista designato quando gioca</t>
  </si>
  <si>
    <t>Quando torna tira lui: da parcheggiare se il prezzo è giusto</t>
  </si>
  <si>
    <t>Cutrone</t>
  </si>
  <si>
    <t>Può fare come il primo anno al Como</t>
  </si>
  <si>
    <t>Seconda scelta dal dischetto del Monza dietro Pessina</t>
  </si>
  <si>
    <t>Bonny</t>
  </si>
  <si>
    <t>Quarta punta di lusso Inter</t>
  </si>
  <si>
    <t>Minutaggio garantito tra coppe e campionato</t>
  </si>
  <si>
    <t>Stulic</t>
  </si>
  <si>
    <t>Rigorista del Lecce</t>
  </si>
  <si>
    <t>Dovrebbe prendersi la responsabilità dal dischetto</t>
  </si>
  <si>
    <t>Zapata D.</t>
  </si>
  <si>
    <t>Usato sicuro</t>
  </si>
  <si>
    <t>Esperienza e gol nel Torino</t>
  </si>
  <si>
    <t>Yeboah J.</t>
  </si>
  <si>
    <t>Rigorista del Venezia</t>
  </si>
  <si>
    <t>Sicuro titolare e protagonista in B: batterà anche i rigori</t>
  </si>
  <si>
    <t>David</t>
  </si>
  <si>
    <t>Qualità da doppia cifra</t>
  </si>
  <si>
    <t>Alla Juve deve trovare spazio: se lo trova è un affare</t>
  </si>
  <si>
    <t>Bowie</t>
  </si>
  <si>
    <t>Personalità per ritagliarsi spazio</t>
  </si>
  <si>
    <t>Parte come vice Pinamonti ma può sorprendere</t>
  </si>
  <si>
    <t>Vitinha O.</t>
  </si>
  <si>
    <t>Titolare Genoa</t>
  </si>
  <si>
    <t>Con Colombo nel nuovo attacco rossoblù</t>
  </si>
  <si>
    <t>SLOT A6 — Scommessa / colpo a 1-10  ·  budget consigliato: 10 crediti</t>
  </si>
  <si>
    <t>15 reti in B da esterno</t>
  </si>
  <si>
    <t>Già testato in Serie A: si è mangiato la B col Frosinone</t>
  </si>
  <si>
    <t>Rigori Venezia</t>
  </si>
  <si>
    <t>Se non preso come A5</t>
  </si>
  <si>
    <t>Maldini</t>
  </si>
  <si>
    <t>T;A nel listone: doppia opzione di schieramento</t>
  </si>
  <si>
    <t>Camarda</t>
  </si>
  <si>
    <t>Il talento più atteso</t>
  </si>
  <si>
    <t>Nel Milan avrà il suo spazio: colpo in prospettiva</t>
  </si>
  <si>
    <t>Boga</t>
  </si>
  <si>
    <t>Da schierare a prescindere</t>
  </si>
  <si>
    <t>Alla Juventus da jolly offensivo (W;A)</t>
  </si>
  <si>
    <t>Geubbels</t>
  </si>
  <si>
    <t>Fisicità nel Lecce</t>
  </si>
  <si>
    <t>Può prendersi la maglia da titolare</t>
  </si>
  <si>
    <t>Piccoli</t>
  </si>
  <si>
    <t>Vice Kean di lusso</t>
  </si>
  <si>
    <t>Nella Fiorentina avrà i suoi spezzoni</t>
  </si>
  <si>
    <t>Ratkov</t>
  </si>
  <si>
    <t>Grande precampionato</t>
  </si>
  <si>
    <t>Occhio a non farsi prendere dall'hype delle illusioni estive</t>
  </si>
  <si>
    <t>Mendy P.</t>
  </si>
  <si>
    <t>Impatto potenziale nel Cagliari</t>
  </si>
  <si>
    <t>Ekhator</t>
  </si>
  <si>
    <t>Prospettiva Juve</t>
  </si>
  <si>
    <t>Scommessa pura a 1-2</t>
  </si>
  <si>
    <t>Noslin</t>
  </si>
  <si>
    <t>Jolly offensivo Lazio</t>
  </si>
  <si>
    <t>Con Gattuso cerca il rilancio</t>
  </si>
  <si>
    <t>LISTONE UFFICIALE 2026-27 (quotazioni Classic dal file caricato)</t>
  </si>
  <si>
    <t>Nome</t>
  </si>
  <si>
    <t>Ruolo Mantra</t>
  </si>
  <si>
    <t>Por</t>
  </si>
  <si>
    <t>Christensen O.</t>
  </si>
  <si>
    <t>Contini</t>
  </si>
  <si>
    <t>Corvi</t>
  </si>
  <si>
    <t>De Marzi</t>
  </si>
  <si>
    <t>Di Gennaro</t>
  </si>
  <si>
    <t>Gollini</t>
  </si>
  <si>
    <t>Grandi</t>
  </si>
  <si>
    <t>Happonen</t>
  </si>
  <si>
    <t>Lezzerini</t>
  </si>
  <si>
    <t>Lolic</t>
  </si>
  <si>
    <t>Mascardi</t>
  </si>
  <si>
    <t>Motta</t>
  </si>
  <si>
    <t>Padelli</t>
  </si>
  <si>
    <t>Pessina Mas.</t>
  </si>
  <si>
    <t>Piana</t>
  </si>
  <si>
    <t>Pinsoglio</t>
  </si>
  <si>
    <t>Pizzignacco</t>
  </si>
  <si>
    <t>Pozzi</t>
  </si>
  <si>
    <t>Renzetti</t>
  </si>
  <si>
    <t>Russo A.</t>
  </si>
  <si>
    <t>Samooja</t>
  </si>
  <si>
    <t>Satalino</t>
  </si>
  <si>
    <t>Siviero</t>
  </si>
  <si>
    <t>Sommariva</t>
  </si>
  <si>
    <t>Stolz</t>
  </si>
  <si>
    <t>Strajnar</t>
  </si>
  <si>
    <t>Tornqvist</t>
  </si>
  <si>
    <t>Torriani</t>
  </si>
  <si>
    <t>Vigorito</t>
  </si>
  <si>
    <t>E;W</t>
  </si>
  <si>
    <t>E</t>
  </si>
  <si>
    <t>Dc</t>
  </si>
  <si>
    <t>Dd;Dc</t>
  </si>
  <si>
    <t>Dd;E</t>
  </si>
  <si>
    <t>Dd;Ds;E</t>
  </si>
  <si>
    <t>Ds;Dc</t>
  </si>
  <si>
    <t>Ds;E</t>
  </si>
  <si>
    <t>B;Dd;E</t>
  </si>
  <si>
    <t>Carlos Augusto</t>
  </si>
  <si>
    <t>B;Ds;E</t>
  </si>
  <si>
    <t>Coco</t>
  </si>
  <si>
    <t>Doekhi</t>
  </si>
  <si>
    <t>Gabbia</t>
  </si>
  <si>
    <t>Idzes</t>
  </si>
  <si>
    <t>Ismajli</t>
  </si>
  <si>
    <t>Kaiki</t>
  </si>
  <si>
    <t>Kristensen T.</t>
  </si>
  <si>
    <t>Obert</t>
  </si>
  <si>
    <t>Romagnoli</t>
  </si>
  <si>
    <t>Tiago Gabriel</t>
  </si>
  <si>
    <t>Tomori</t>
  </si>
  <si>
    <t>Ahanor</t>
  </si>
  <si>
    <t>Bella-Kotchap</t>
  </si>
  <si>
    <t>Beukema</t>
  </si>
  <si>
    <t>Circati</t>
  </si>
  <si>
    <t>Comuzzo</t>
  </si>
  <si>
    <t>Gallo</t>
  </si>
  <si>
    <t>Heggem</t>
  </si>
  <si>
    <t>Kamara H.</t>
  </si>
  <si>
    <t>Marcandalli</t>
  </si>
  <si>
    <t>Monterisi</t>
  </si>
  <si>
    <t>Pavard</t>
  </si>
  <si>
    <t>Valdepenas</t>
  </si>
  <si>
    <t>Viery</t>
  </si>
  <si>
    <t>Gaspar K.</t>
  </si>
  <si>
    <t>Haps</t>
  </si>
  <si>
    <t>Holm</t>
  </si>
  <si>
    <t>Kelly L.</t>
  </si>
  <si>
    <t>Kofler</t>
  </si>
  <si>
    <t>Kolasinac</t>
  </si>
  <si>
    <t>Martin</t>
  </si>
  <si>
    <t>Moreno M.</t>
  </si>
  <si>
    <t>Olivera</t>
  </si>
  <si>
    <t>Oyono A.</t>
  </si>
  <si>
    <t>Parisi</t>
  </si>
  <si>
    <t>Pedersen</t>
  </si>
  <si>
    <t>Pedraza</t>
  </si>
  <si>
    <t>Rensch</t>
  </si>
  <si>
    <t>Veiga D.</t>
  </si>
  <si>
    <t>Vitik</t>
  </si>
  <si>
    <t>Zè Pedro</t>
  </si>
  <si>
    <t>Arizala</t>
  </si>
  <si>
    <t>Bertola</t>
  </si>
  <si>
    <t>Dd;Ds;Dc</t>
  </si>
  <si>
    <t>Birindelli</t>
  </si>
  <si>
    <t>Comert</t>
  </si>
  <si>
    <t>Delli Carri</t>
  </si>
  <si>
    <t>Doig</t>
  </si>
  <si>
    <t>Gatti</t>
  </si>
  <si>
    <t>Ghilardi</t>
  </si>
  <si>
    <t>Halhal</t>
  </si>
  <si>
    <t>Kabasele</t>
  </si>
  <si>
    <t>Lucchesi</t>
  </si>
  <si>
    <t>Mitaj</t>
  </si>
  <si>
    <t>Pongracic</t>
  </si>
  <si>
    <t>Siebert</t>
  </si>
  <si>
    <t>Smolcic I.</t>
  </si>
  <si>
    <t>Valenti</t>
  </si>
  <si>
    <t>Walukiewicz</t>
  </si>
  <si>
    <t>Zanoli</t>
  </si>
  <si>
    <t>Zappa</t>
  </si>
  <si>
    <t>Akpoguma</t>
  </si>
  <si>
    <t>Athekame</t>
  </si>
  <si>
    <t>Britschgi</t>
  </si>
  <si>
    <t>Candè</t>
  </si>
  <si>
    <t>Carboni A.</t>
  </si>
  <si>
    <t>Casale</t>
  </si>
  <si>
    <t>Cittadini</t>
  </si>
  <si>
    <t>De Winter</t>
  </si>
  <si>
    <t>Estupinan</t>
  </si>
  <si>
    <t>Floriani Mussolini</t>
  </si>
  <si>
    <t>Hainaut</t>
  </si>
  <si>
    <t>Idrissi R.</t>
  </si>
  <si>
    <t>Joao Mario</t>
  </si>
  <si>
    <t>Kossounou</t>
  </si>
  <si>
    <t>Kouadio</t>
  </si>
  <si>
    <t>Provstgaard</t>
  </si>
  <si>
    <t>Ranieri L.</t>
  </si>
  <si>
    <t>Rodriguez Ju.</t>
  </si>
  <si>
    <t>Schingtienne</t>
  </si>
  <si>
    <t>Sverko</t>
  </si>
  <si>
    <t>Troilo</t>
  </si>
  <si>
    <t>Alhassane</t>
  </si>
  <si>
    <t>Aurelio</t>
  </si>
  <si>
    <t>Diawara S.</t>
  </si>
  <si>
    <t>Ebosse</t>
  </si>
  <si>
    <t>Franjic</t>
  </si>
  <si>
    <t>Helland</t>
  </si>
  <si>
    <t>Jean</t>
  </si>
  <si>
    <t>Lazzari</t>
  </si>
  <si>
    <t>Marin R.</t>
  </si>
  <si>
    <t>Otoa</t>
  </si>
  <si>
    <t>Palma</t>
  </si>
  <si>
    <t>Pellegrini Lu.</t>
  </si>
  <si>
    <t>Puczka</t>
  </si>
  <si>
    <t>Sabelli</t>
  </si>
  <si>
    <t>Sagrado</t>
  </si>
  <si>
    <t>Van Der Brempt</t>
  </si>
  <si>
    <t>Abankwah</t>
  </si>
  <si>
    <t>Amey</t>
  </si>
  <si>
    <t>Antov</t>
  </si>
  <si>
    <t>Bakoune</t>
  </si>
  <si>
    <t>Cabal</t>
  </si>
  <si>
    <t>Carboni F.</t>
  </si>
  <si>
    <t>Corrado</t>
  </si>
  <si>
    <t>Cuenca A.</t>
  </si>
  <si>
    <t>De Silvestri</t>
  </si>
  <si>
    <t>Gelli J.</t>
  </si>
  <si>
    <t>Goldaniga</t>
  </si>
  <si>
    <t>Gomes</t>
  </si>
  <si>
    <t>Marianucci</t>
  </si>
  <si>
    <t>Matturro</t>
  </si>
  <si>
    <t>Mazzocchi</t>
  </si>
  <si>
    <t>Missori</t>
  </si>
  <si>
    <t>Mlacic</t>
  </si>
  <si>
    <t>Ndaba</t>
  </si>
  <si>
    <t>Ndiaye</t>
  </si>
  <si>
    <t>Oyono J.</t>
  </si>
  <si>
    <t>Patric</t>
  </si>
  <si>
    <t>Pieragnolo</t>
  </si>
  <si>
    <t>Raterink</t>
  </si>
  <si>
    <t>Rugani</t>
  </si>
  <si>
    <t>Ziolkowski</t>
  </si>
  <si>
    <t>T;A</t>
  </si>
  <si>
    <t>C;T</t>
  </si>
  <si>
    <t>M;C</t>
  </si>
  <si>
    <t>W;A</t>
  </si>
  <si>
    <t>T</t>
  </si>
  <si>
    <t>Alajbegovic</t>
  </si>
  <si>
    <t>W;T</t>
  </si>
  <si>
    <t>W</t>
  </si>
  <si>
    <t>Thuram K.</t>
  </si>
  <si>
    <t>Cancellieri</t>
  </si>
  <si>
    <t>Konè I.</t>
  </si>
  <si>
    <t>Colpani</t>
  </si>
  <si>
    <t>Cristante</t>
  </si>
  <si>
    <t>Diouf</t>
  </si>
  <si>
    <t>E;C</t>
  </si>
  <si>
    <t>Fagioli</t>
  </si>
  <si>
    <t>Locatelli</t>
  </si>
  <si>
    <t>Vergara</t>
  </si>
  <si>
    <t>Fazzini</t>
  </si>
  <si>
    <t>Ferguson</t>
  </si>
  <si>
    <t>Frattesi</t>
  </si>
  <si>
    <t>Frendrup</t>
  </si>
  <si>
    <t>Gaetano</t>
  </si>
  <si>
    <t>Lobotka</t>
  </si>
  <si>
    <t>Oristanio</t>
  </si>
  <si>
    <t>Sow</t>
  </si>
  <si>
    <t>Unai Gomez</t>
  </si>
  <si>
    <t>Volpato</t>
  </si>
  <si>
    <t>Adopo</t>
  </si>
  <si>
    <t>Akinsanmiro</t>
  </si>
  <si>
    <t>Caqueret</t>
  </si>
  <si>
    <t>Chukwueze</t>
  </si>
  <si>
    <t>Coulibaly L.</t>
  </si>
  <si>
    <t>Ellertsson</t>
  </si>
  <si>
    <t>Liberali</t>
  </si>
  <si>
    <t>Nicolussi Caviglia</t>
  </si>
  <si>
    <t>Oulai</t>
  </si>
  <si>
    <t>Pierotti</t>
  </si>
  <si>
    <t>Pobega</t>
  </si>
  <si>
    <t>Rovella</t>
  </si>
  <si>
    <t>Winks</t>
  </si>
  <si>
    <t>Zalewski</t>
  </si>
  <si>
    <t>Addai</t>
  </si>
  <si>
    <t>Adzic</t>
  </si>
  <si>
    <t>Amondarain</t>
  </si>
  <si>
    <t>Bakola</t>
  </si>
  <si>
    <t>Cacciamani</t>
  </si>
  <si>
    <t>Dele-Bashiru</t>
  </si>
  <si>
    <t>Felici</t>
  </si>
  <si>
    <t>Fofana Y.</t>
  </si>
  <si>
    <t>Gandelman</t>
  </si>
  <si>
    <t>Gineitis</t>
  </si>
  <si>
    <t>Koopmeiners</t>
  </si>
  <si>
    <t>Matic</t>
  </si>
  <si>
    <t>Meichtry</t>
  </si>
  <si>
    <t>Mkhitaryan</t>
  </si>
  <si>
    <t>Ondrejka</t>
  </si>
  <si>
    <t>Piotrowski</t>
  </si>
  <si>
    <t>Pisilli</t>
  </si>
  <si>
    <t>Romano</t>
  </si>
  <si>
    <t>Sohm</t>
  </si>
  <si>
    <t>Zerbin</t>
  </si>
  <si>
    <t>Almqvist</t>
  </si>
  <si>
    <t>Amorim</t>
  </si>
  <si>
    <t>Cataldi</t>
  </si>
  <si>
    <t>Cichella</t>
  </si>
  <si>
    <t>De Roon</t>
  </si>
  <si>
    <t>Douglas Luiz</t>
  </si>
  <si>
    <t>El Aynaoui</t>
  </si>
  <si>
    <t>Fabbian</t>
  </si>
  <si>
    <t>Fitz-Jim</t>
  </si>
  <si>
    <t>Folorunsho</t>
  </si>
  <si>
    <t>Ilkhan</t>
  </si>
  <si>
    <t>Jashari</t>
  </si>
  <si>
    <t>Loftus-Cheek</t>
  </si>
  <si>
    <t>Luis Henrique</t>
  </si>
  <si>
    <t>Ngom</t>
  </si>
  <si>
    <t>Njie</t>
  </si>
  <si>
    <t>Prati</t>
  </si>
  <si>
    <t>Ricci S.</t>
  </si>
  <si>
    <t>Aboukhlal</t>
  </si>
  <si>
    <t>Brescianini</t>
  </si>
  <si>
    <t>Colombo L.</t>
  </si>
  <si>
    <t>Deiola</t>
  </si>
  <si>
    <t>Diallo O.</t>
  </si>
  <si>
    <t>Dominguez B.</t>
  </si>
  <si>
    <t xml:space="preserve">Fini </t>
  </si>
  <si>
    <t>Gelli F.</t>
  </si>
  <si>
    <t>Gilmour</t>
  </si>
  <si>
    <t>Helgason</t>
  </si>
  <si>
    <t>Messias</t>
  </si>
  <si>
    <t>Miller L.</t>
  </si>
  <si>
    <t>Miretti</t>
  </si>
  <si>
    <t>Sorensen O.</t>
  </si>
  <si>
    <t>Sulemana I.</t>
  </si>
  <si>
    <t>Boloca</t>
  </si>
  <si>
    <t>Chakvetadze</t>
  </si>
  <si>
    <t>Ciurria</t>
  </si>
  <si>
    <t>Duncan</t>
  </si>
  <si>
    <t>El Azzouzi O.</t>
  </si>
  <si>
    <t>Fadera</t>
  </si>
  <si>
    <t>Hasa</t>
  </si>
  <si>
    <t>Lipani</t>
  </si>
  <si>
    <t>Maleh</t>
  </si>
  <si>
    <t>Masini</t>
  </si>
  <si>
    <t>Musah</t>
  </si>
  <si>
    <t>C;W</t>
  </si>
  <si>
    <t>Ordonez C.</t>
  </si>
  <si>
    <t>Venturino</t>
  </si>
  <si>
    <t>Anjorin</t>
  </si>
  <si>
    <t>Belahyane</t>
  </si>
  <si>
    <t>Camara A.</t>
  </si>
  <si>
    <t>Cremaschi</t>
  </si>
  <si>
    <t>Dagasso</t>
  </si>
  <si>
    <t>El Azzouzi A.</t>
  </si>
  <si>
    <t>Fofana Sa.</t>
  </si>
  <si>
    <t>Gorter</t>
  </si>
  <si>
    <t>Iannoni</t>
  </si>
  <si>
    <t>Ilic</t>
  </si>
  <si>
    <t>Kaba</t>
  </si>
  <si>
    <t>Kone B.</t>
  </si>
  <si>
    <t>Lahdo</t>
  </si>
  <si>
    <t>Liteta</t>
  </si>
  <si>
    <t>Przyborek</t>
  </si>
  <si>
    <t>Zarraga</t>
  </si>
  <si>
    <t>Pc</t>
  </si>
  <si>
    <t>Dia</t>
  </si>
  <si>
    <t>Adams C.</t>
  </si>
  <si>
    <t>Dallinga</t>
  </si>
  <si>
    <t>Rrahmani Al.</t>
  </si>
  <si>
    <t>Raimondo</t>
  </si>
  <si>
    <t>Gimenez</t>
  </si>
  <si>
    <t>Mutandwa</t>
  </si>
  <si>
    <t>Neres</t>
  </si>
  <si>
    <t>Sulemana K.</t>
  </si>
  <si>
    <t>Adorante</t>
  </si>
  <si>
    <t>Frigan</t>
  </si>
  <si>
    <t>Mota</t>
  </si>
  <si>
    <t>Borrelli</t>
  </si>
  <si>
    <t>Giovane</t>
  </si>
  <si>
    <t>Gueye</t>
  </si>
  <si>
    <t>Havel</t>
  </si>
  <si>
    <t>Kulenovic</t>
  </si>
  <si>
    <t>Kvernadze</t>
  </si>
  <si>
    <t>Morata</t>
  </si>
  <si>
    <t>Robinson J.</t>
  </si>
  <si>
    <t>Elphege</t>
  </si>
  <si>
    <t>Kuhn</t>
  </si>
  <si>
    <t>Lang</t>
  </si>
  <si>
    <t>Lucca</t>
  </si>
  <si>
    <t>N'Dri</t>
  </si>
  <si>
    <t>Varela G.</t>
  </si>
  <si>
    <t>Buksa</t>
  </si>
  <si>
    <t>Petagna</t>
  </si>
  <si>
    <t>Albarracin</t>
  </si>
  <si>
    <t>Azon</t>
  </si>
  <si>
    <t>Bayo V.</t>
  </si>
  <si>
    <t>Lauberbach</t>
  </si>
  <si>
    <t>Lisman</t>
  </si>
  <si>
    <t>Moro L.</t>
  </si>
  <si>
    <t>Trepy</t>
  </si>
  <si>
    <t>Vaz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</si>
</sst>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7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666666"/>
      <name val="Arial"/>
      <charset val="1"/>
    </font>
    <font>
      <b/>
      <sz val="10"/>
      <color rgb="FF000000"/>
      <name val="Arial"/>
      <charset val="1"/>
    </font>
    <font>
      <b/>
      <sz val="12"/>
      <color rgb="FF0000FF"/>
      <name val="Arial"/>
      <charset val="1"/>
    </font>
    <font>
      <b/>
      <sz val="10"/>
      <color rgb="FFFFFFFF"/>
      <name val="Arial"/>
      <charset val="1"/>
    </font>
    <font>
      <b/>
      <sz val="12"/>
      <color rgb="FF1F3864"/>
      <name val="Arial"/>
      <charset val="1"/>
    </font>
    <font>
      <sz val="10"/>
      <color rgb="FF000000"/>
      <name val="Arial"/>
      <charset val="1"/>
    </font>
    <font>
      <b/>
      <sz val="11"/>
      <color rgb="FF1F3864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10"/>
      <color rgb="FF1F3864"/>
      <name val="Arial"/>
      <charset val="1"/>
    </font>
    <font>
      <i/>
      <sz val="8"/>
      <color rgb="FF666666"/>
      <name val="Arial"/>
      <charset val="1"/>
    </font>
    <font>
      <b/>
      <sz val="13"/>
      <color rgb="FF1F3864"/>
      <name val="Arial"/>
      <charset val="1"/>
    </font>
    <font>
      <b/>
      <sz val="14"/>
      <color rgb="FF1F3864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5" fillId="3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3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3" fontId="7" fillId="9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Asta!$E$3</c:f>
              <c:strCache>
                <c:ptCount val="1"/>
                <c:pt idx="0">
                  <c:v>Budget consigliato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Asta!$D$4:$D$7</c:f>
              <c:strCache>
                <c:ptCount val="4"/>
                <c:pt idx="0">
                  <c:v>P</c:v>
                </c:pt>
                <c:pt idx="1">
                  <c:v>D</c:v>
                </c:pt>
                <c:pt idx="2">
                  <c:v>C</c:v>
                </c:pt>
                <c:pt idx="3">
                  <c:v>A</c:v>
                </c:pt>
              </c:strCache>
            </c:strRef>
          </c:cat>
          <c:val>
            <c:numRef>
              <c:f>Asta!$E$4:$E$7</c:f>
              <c:numCache>
                <c:formatCode>#,##0</c:formatCode>
                <c:ptCount val="4"/>
                <c:pt idx="0">
                  <c:v>80</c:v>
                </c:pt>
                <c:pt idx="1">
                  <c:v>130</c:v>
                </c:pt>
                <c:pt idx="2">
                  <c:v>265</c:v>
                </c:pt>
                <c:pt idx="3">
                  <c:v>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6-7943-84FA-0D8863756616}"/>
            </c:ext>
          </c:extLst>
        </c:ser>
        <c:ser>
          <c:idx val="1"/>
          <c:order val="1"/>
          <c:tx>
            <c:strRef>
              <c:f>Asta!$F$3</c:f>
              <c:strCache>
                <c:ptCount val="1"/>
                <c:pt idx="0">
                  <c:v>Speso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Asta!$D$4:$D$7</c:f>
              <c:strCache>
                <c:ptCount val="4"/>
                <c:pt idx="0">
                  <c:v>P</c:v>
                </c:pt>
                <c:pt idx="1">
                  <c:v>D</c:v>
                </c:pt>
                <c:pt idx="2">
                  <c:v>C</c:v>
                </c:pt>
                <c:pt idx="3">
                  <c:v>A</c:v>
                </c:pt>
              </c:strCache>
            </c:strRef>
          </c:cat>
          <c:val>
            <c:numRef>
              <c:f>Asta!$F$4:$F$7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6-7943-84FA-0D8863756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53165"/>
        <c:axId val="50114434"/>
      </c:barChart>
      <c:catAx>
        <c:axId val="56531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0114434"/>
        <c:crosses val="autoZero"/>
        <c:auto val="1"/>
        <c:lblAlgn val="ctr"/>
        <c:lblOffset val="100"/>
        <c:noMultiLvlLbl val="0"/>
      </c:catAx>
      <c:valAx>
        <c:axId val="501144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6531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Asta!$F$3</c:f>
              <c:strCache>
                <c:ptCount val="1"/>
                <c:pt idx="0">
                  <c:v>Speso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98CC-1B46-867F-6F35D2EAE34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8CC-1B46-867F-6F35D2EAE34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8CC-1B46-867F-6F35D2EAE34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98CC-1B46-867F-6F35D2EAE34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it-I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8CC-1B46-867F-6F35D2EAE34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it-I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8CC-1B46-867F-6F35D2EAE34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it-I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8CC-1B46-867F-6F35D2EAE34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it-I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98CC-1B46-867F-6F35D2EAE3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Asta!$D$4:$D$7</c:f>
              <c:strCache>
                <c:ptCount val="4"/>
                <c:pt idx="0">
                  <c:v>P</c:v>
                </c:pt>
                <c:pt idx="1">
                  <c:v>D</c:v>
                </c:pt>
                <c:pt idx="2">
                  <c:v>C</c:v>
                </c:pt>
                <c:pt idx="3">
                  <c:v>A</c:v>
                </c:pt>
              </c:strCache>
            </c:strRef>
          </c:cat>
          <c:val>
            <c:numRef>
              <c:f>Asta!$F$4:$F$7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8CC-1B46-867F-6F35D2EAE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Asta!$J$16</c:f>
              <c:strCache>
                <c:ptCount val="1"/>
                <c:pt idx="0">
                  <c:v>Crediti residui dopo l'acquisto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Asta!$A$17:$A$41</c:f>
              <c:strCache>
                <c:ptCount val="2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D1</c:v>
                </c:pt>
                <c:pt idx="4">
                  <c:v>D2</c:v>
                </c:pt>
                <c:pt idx="5">
                  <c:v>D3</c:v>
                </c:pt>
                <c:pt idx="6">
                  <c:v>D4</c:v>
                </c:pt>
                <c:pt idx="7">
                  <c:v>D5</c:v>
                </c:pt>
                <c:pt idx="8">
                  <c:v>D6</c:v>
                </c:pt>
                <c:pt idx="9">
                  <c:v>D7</c:v>
                </c:pt>
                <c:pt idx="10">
                  <c:v>D8</c:v>
                </c:pt>
                <c:pt idx="11">
                  <c:v>C1</c:v>
                </c:pt>
                <c:pt idx="12">
                  <c:v>C2</c:v>
                </c:pt>
                <c:pt idx="13">
                  <c:v>C3</c:v>
                </c:pt>
                <c:pt idx="14">
                  <c:v>C4</c:v>
                </c:pt>
                <c:pt idx="15">
                  <c:v>C5</c:v>
                </c:pt>
                <c:pt idx="16">
                  <c:v>C6</c:v>
                </c:pt>
                <c:pt idx="17">
                  <c:v>C7</c:v>
                </c:pt>
                <c:pt idx="18">
                  <c:v>C8</c:v>
                </c:pt>
                <c:pt idx="19">
                  <c:v>A1</c:v>
                </c:pt>
                <c:pt idx="20">
                  <c:v>A2</c:v>
                </c:pt>
                <c:pt idx="21">
                  <c:v>A3</c:v>
                </c:pt>
                <c:pt idx="22">
                  <c:v>A4</c:v>
                </c:pt>
                <c:pt idx="23">
                  <c:v>A5</c:v>
                </c:pt>
                <c:pt idx="24">
                  <c:v>A6</c:v>
                </c:pt>
              </c:strCache>
            </c:strRef>
          </c:cat>
          <c:val>
            <c:numRef>
              <c:f>Asta!$J$17:$J$41</c:f>
              <c:numCache>
                <c:formatCode>#,##0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1B-0848-902A-8BF46703E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307103"/>
        <c:axId val="39991744"/>
      </c:lineChart>
      <c:catAx>
        <c:axId val="9230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39991744"/>
        <c:crosses val="autoZero"/>
        <c:auto val="1"/>
        <c:lblAlgn val="ctr"/>
        <c:lblOffset val="100"/>
        <c:noMultiLvlLbl val="0"/>
      </c:catAx>
      <c:valAx>
        <c:axId val="39991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23071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Asta!$G$16</c:f>
              <c:strCache>
                <c:ptCount val="1"/>
                <c:pt idx="0">
                  <c:v>Prezzo max consigliato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Asta!$A$17:$A$41</c:f>
              <c:strCache>
                <c:ptCount val="2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D1</c:v>
                </c:pt>
                <c:pt idx="4">
                  <c:v>D2</c:v>
                </c:pt>
                <c:pt idx="5">
                  <c:v>D3</c:v>
                </c:pt>
                <c:pt idx="6">
                  <c:v>D4</c:v>
                </c:pt>
                <c:pt idx="7">
                  <c:v>D5</c:v>
                </c:pt>
                <c:pt idx="8">
                  <c:v>D6</c:v>
                </c:pt>
                <c:pt idx="9">
                  <c:v>D7</c:v>
                </c:pt>
                <c:pt idx="10">
                  <c:v>D8</c:v>
                </c:pt>
                <c:pt idx="11">
                  <c:v>C1</c:v>
                </c:pt>
                <c:pt idx="12">
                  <c:v>C2</c:v>
                </c:pt>
                <c:pt idx="13">
                  <c:v>C3</c:v>
                </c:pt>
                <c:pt idx="14">
                  <c:v>C4</c:v>
                </c:pt>
                <c:pt idx="15">
                  <c:v>C5</c:v>
                </c:pt>
                <c:pt idx="16">
                  <c:v>C6</c:v>
                </c:pt>
                <c:pt idx="17">
                  <c:v>C7</c:v>
                </c:pt>
                <c:pt idx="18">
                  <c:v>C8</c:v>
                </c:pt>
                <c:pt idx="19">
                  <c:v>A1</c:v>
                </c:pt>
                <c:pt idx="20">
                  <c:v>A2</c:v>
                </c:pt>
                <c:pt idx="21">
                  <c:v>A3</c:v>
                </c:pt>
                <c:pt idx="22">
                  <c:v>A4</c:v>
                </c:pt>
                <c:pt idx="23">
                  <c:v>A5</c:v>
                </c:pt>
                <c:pt idx="24">
                  <c:v>A6</c:v>
                </c:pt>
              </c:strCache>
            </c:strRef>
          </c:cat>
          <c:val>
            <c:numRef>
              <c:f>Asta!$G$17:$G$41</c:f>
              <c:numCache>
                <c:formatCode>#,##0</c:formatCode>
                <c:ptCount val="25"/>
                <c:pt idx="0">
                  <c:v>60</c:v>
                </c:pt>
                <c:pt idx="1">
                  <c:v>15</c:v>
                </c:pt>
                <c:pt idx="2">
                  <c:v>5</c:v>
                </c:pt>
                <c:pt idx="3">
                  <c:v>55</c:v>
                </c:pt>
                <c:pt idx="4">
                  <c:v>25</c:v>
                </c:pt>
                <c:pt idx="5">
                  <c:v>15</c:v>
                </c:pt>
                <c:pt idx="6">
                  <c:v>12</c:v>
                </c:pt>
                <c:pt idx="7">
                  <c:v>10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90</c:v>
                </c:pt>
                <c:pt idx="12">
                  <c:v>70</c:v>
                </c:pt>
                <c:pt idx="13">
                  <c:v>40</c:v>
                </c:pt>
                <c:pt idx="14">
                  <c:v>25</c:v>
                </c:pt>
                <c:pt idx="15">
                  <c:v>15</c:v>
                </c:pt>
                <c:pt idx="16">
                  <c:v>12</c:v>
                </c:pt>
                <c:pt idx="17">
                  <c:v>8</c:v>
                </c:pt>
                <c:pt idx="18">
                  <c:v>5</c:v>
                </c:pt>
                <c:pt idx="19">
                  <c:v>220</c:v>
                </c:pt>
                <c:pt idx="20">
                  <c:v>150</c:v>
                </c:pt>
                <c:pt idx="21">
                  <c:v>80</c:v>
                </c:pt>
                <c:pt idx="22">
                  <c:v>45</c:v>
                </c:pt>
                <c:pt idx="23">
                  <c:v>20</c:v>
                </c:pt>
                <c:pt idx="2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B-2540-ABE7-F77E7497CF2D}"/>
            </c:ext>
          </c:extLst>
        </c:ser>
        <c:ser>
          <c:idx val="1"/>
          <c:order val="1"/>
          <c:tx>
            <c:strRef>
              <c:f>Asta!$I$16</c:f>
              <c:strCache>
                <c:ptCount val="1"/>
                <c:pt idx="0">
                  <c:v>Pagato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Asta!$A$17:$A$41</c:f>
              <c:strCache>
                <c:ptCount val="25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D1</c:v>
                </c:pt>
                <c:pt idx="4">
                  <c:v>D2</c:v>
                </c:pt>
                <c:pt idx="5">
                  <c:v>D3</c:v>
                </c:pt>
                <c:pt idx="6">
                  <c:v>D4</c:v>
                </c:pt>
                <c:pt idx="7">
                  <c:v>D5</c:v>
                </c:pt>
                <c:pt idx="8">
                  <c:v>D6</c:v>
                </c:pt>
                <c:pt idx="9">
                  <c:v>D7</c:v>
                </c:pt>
                <c:pt idx="10">
                  <c:v>D8</c:v>
                </c:pt>
                <c:pt idx="11">
                  <c:v>C1</c:v>
                </c:pt>
                <c:pt idx="12">
                  <c:v>C2</c:v>
                </c:pt>
                <c:pt idx="13">
                  <c:v>C3</c:v>
                </c:pt>
                <c:pt idx="14">
                  <c:v>C4</c:v>
                </c:pt>
                <c:pt idx="15">
                  <c:v>C5</c:v>
                </c:pt>
                <c:pt idx="16">
                  <c:v>C6</c:v>
                </c:pt>
                <c:pt idx="17">
                  <c:v>C7</c:v>
                </c:pt>
                <c:pt idx="18">
                  <c:v>C8</c:v>
                </c:pt>
                <c:pt idx="19">
                  <c:v>A1</c:v>
                </c:pt>
                <c:pt idx="20">
                  <c:v>A2</c:v>
                </c:pt>
                <c:pt idx="21">
                  <c:v>A3</c:v>
                </c:pt>
                <c:pt idx="22">
                  <c:v>A4</c:v>
                </c:pt>
                <c:pt idx="23">
                  <c:v>A5</c:v>
                </c:pt>
                <c:pt idx="24">
                  <c:v>A6</c:v>
                </c:pt>
              </c:strCache>
            </c:strRef>
          </c:cat>
          <c:val>
            <c:numRef>
              <c:f>Asta!$I$17:$I$41</c:f>
              <c:numCache>
                <c:formatCode>#,##0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1-6CBB-2540-ABE7-F77E7497C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629519"/>
        <c:axId val="90429282"/>
      </c:barChart>
      <c:catAx>
        <c:axId val="1162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0429282"/>
        <c:crosses val="autoZero"/>
        <c:auto val="1"/>
        <c:lblAlgn val="ctr"/>
        <c:lblOffset val="100"/>
        <c:noMultiLvlLbl val="0"/>
      </c:catAx>
      <c:valAx>
        <c:axId val="90429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116295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175680</xdr:rowOff>
    </xdr:from>
    <xdr:to>
      <xdr:col>9</xdr:col>
      <xdr:colOff>255960</xdr:colOff>
      <xdr:row>18</xdr:row>
      <xdr:rowOff>176760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</xdr:row>
      <xdr:rowOff>175680</xdr:rowOff>
    </xdr:from>
    <xdr:to>
      <xdr:col>16</xdr:col>
      <xdr:colOff>39240</xdr:colOff>
      <xdr:row>18</xdr:row>
      <xdr:rowOff>176760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176040</xdr:rowOff>
    </xdr:from>
    <xdr:to>
      <xdr:col>9</xdr:col>
      <xdr:colOff>255960</xdr:colOff>
      <xdr:row>37</xdr:row>
      <xdr:rowOff>177120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20</xdr:row>
      <xdr:rowOff>176040</xdr:rowOff>
    </xdr:from>
    <xdr:to>
      <xdr:col>20</xdr:col>
      <xdr:colOff>473040</xdr:colOff>
      <xdr:row>37</xdr:row>
      <xdr:rowOff>177120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 x14ac:dyDescent="0.2"/>
  <cols>
    <col min="1" max="1" width="6" customWidth="1"/>
    <col min="2" max="2" width="7" customWidth="1"/>
    <col min="3" max="3" width="38" customWidth="1"/>
    <col min="4" max="4" width="20" customWidth="1"/>
    <col min="5" max="5" width="12" customWidth="1"/>
    <col min="6" max="6" width="10" customWidth="1"/>
    <col min="7" max="7" width="13" customWidth="1"/>
    <col min="8" max="8" width="20" customWidth="1"/>
    <col min="9" max="9" width="9" customWidth="1"/>
    <col min="10" max="10" width="14" customWidth="1"/>
  </cols>
  <sheetData>
    <row r="1" spans="1:10" ht="20" x14ac:dyDescent="0.2">
      <c r="A1" s="3" t="s">
        <v>0</v>
      </c>
    </row>
    <row r="2" spans="1:10" x14ac:dyDescent="0.2">
      <c r="A2" s="4" t="s">
        <v>1</v>
      </c>
    </row>
    <row r="3" spans="1:10" ht="28" x14ac:dyDescent="0.2">
      <c r="A3" s="5" t="s">
        <v>2</v>
      </c>
      <c r="B3" s="6">
        <v>1000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</row>
    <row r="4" spans="1:10" ht="16" x14ac:dyDescent="0.2">
      <c r="A4" s="5" t="s">
        <v>5</v>
      </c>
      <c r="B4" s="8">
        <f>SUM(I17:I41)</f>
        <v>0</v>
      </c>
      <c r="D4" s="9" t="s">
        <v>8</v>
      </c>
      <c r="E4" s="10">
        <f>SUMIF($B$17:$B$41,D4,$G$17:$G$41)</f>
        <v>80</v>
      </c>
      <c r="F4" s="10">
        <f>SUMIF($B$17:$B$41,D4,$I$17:$I$41)</f>
        <v>0</v>
      </c>
      <c r="G4" s="10">
        <f>E4-F4</f>
        <v>80</v>
      </c>
      <c r="H4" s="11">
        <f>IF($B$4=0,0,F4/$B$4)</f>
        <v>0</v>
      </c>
    </row>
    <row r="5" spans="1:10" ht="16" x14ac:dyDescent="0.2">
      <c r="A5" s="5" t="s">
        <v>9</v>
      </c>
      <c r="B5" s="8">
        <f>B3-B4</f>
        <v>1000</v>
      </c>
      <c r="D5" s="12" t="s">
        <v>10</v>
      </c>
      <c r="E5" s="10">
        <f>SUMIF($B$17:$B$41,D5,$G$17:$G$41)</f>
        <v>130</v>
      </c>
      <c r="F5" s="10">
        <f>SUMIF($B$17:$B$41,D5,$I$17:$I$41)</f>
        <v>0</v>
      </c>
      <c r="G5" s="10">
        <f>E5-F5</f>
        <v>130</v>
      </c>
      <c r="H5" s="11">
        <f>IF($B$4=0,0,F5/$B$4)</f>
        <v>0</v>
      </c>
    </row>
    <row r="6" spans="1:10" ht="16" x14ac:dyDescent="0.2">
      <c r="A6" s="5" t="s">
        <v>11</v>
      </c>
      <c r="B6" s="8">
        <f>COUNT(I17:I41)</f>
        <v>0</v>
      </c>
      <c r="D6" s="13" t="s">
        <v>12</v>
      </c>
      <c r="E6" s="10">
        <f>SUMIF($B$17:$B$41,D6,$G$17:$G$41)</f>
        <v>265</v>
      </c>
      <c r="F6" s="10">
        <f>SUMIF($B$17:$B$41,D6,$I$17:$I$41)</f>
        <v>0</v>
      </c>
      <c r="G6" s="10">
        <f>E6-F6</f>
        <v>265</v>
      </c>
      <c r="H6" s="11">
        <f>IF($B$4=0,0,F6/$B$4)</f>
        <v>0</v>
      </c>
    </row>
    <row r="7" spans="1:10" ht="16" x14ac:dyDescent="0.2">
      <c r="A7" s="5" t="s">
        <v>13</v>
      </c>
      <c r="B7" s="8">
        <f>25-B6</f>
        <v>25</v>
      </c>
      <c r="D7" s="14" t="s">
        <v>14</v>
      </c>
      <c r="E7" s="10">
        <f>SUMIF($B$17:$B$41,D7,$G$17:$G$41)</f>
        <v>525</v>
      </c>
      <c r="F7" s="10">
        <f>SUMIF($B$17:$B$41,D7,$I$17:$I$41)</f>
        <v>0</v>
      </c>
      <c r="G7" s="10">
        <f>E7-F7</f>
        <v>525</v>
      </c>
      <c r="H7" s="11">
        <f>IF($B$4=0,0,F7/$B$4)</f>
        <v>0</v>
      </c>
    </row>
    <row r="8" spans="1:10" ht="16" x14ac:dyDescent="0.2">
      <c r="A8" s="5" t="s">
        <v>15</v>
      </c>
      <c r="B8" s="15">
        <f>IF(B7=0,0,B5/B7)</f>
        <v>40</v>
      </c>
      <c r="D8" s="16" t="s">
        <v>16</v>
      </c>
      <c r="E8" s="17">
        <f>SUM(E4:E7)</f>
        <v>1000</v>
      </c>
      <c r="F8" s="17">
        <f>SUM(F4:F7)</f>
        <v>0</v>
      </c>
      <c r="G8" s="17">
        <f>SUM(G4:G7)</f>
        <v>1000</v>
      </c>
      <c r="H8" s="18">
        <f>IF($B$4=0,0,F8/$B$4)</f>
        <v>0</v>
      </c>
    </row>
    <row r="10" spans="1:10" x14ac:dyDescent="0.2">
      <c r="A10" s="19" t="s">
        <v>17</v>
      </c>
    </row>
    <row r="11" spans="1:10" x14ac:dyDescent="0.2">
      <c r="A11" s="20" t="s">
        <v>18</v>
      </c>
    </row>
    <row r="12" spans="1:10" x14ac:dyDescent="0.2">
      <c r="A12" s="20" t="s">
        <v>19</v>
      </c>
    </row>
    <row r="13" spans="1:10" x14ac:dyDescent="0.2">
      <c r="A13" s="20" t="s">
        <v>20</v>
      </c>
    </row>
    <row r="14" spans="1:10" x14ac:dyDescent="0.2">
      <c r="A14" s="20" t="s">
        <v>21</v>
      </c>
      <c r="G14" s="21" t="s">
        <v>22</v>
      </c>
      <c r="H14" s="22" t="s">
        <v>23</v>
      </c>
      <c r="I14" s="23">
        <v>62</v>
      </c>
    </row>
    <row r="16" spans="1:10" ht="28" x14ac:dyDescent="0.2">
      <c r="A16" s="7" t="s">
        <v>24</v>
      </c>
      <c r="B16" s="7" t="s">
        <v>25</v>
      </c>
      <c r="C16" s="7" t="s">
        <v>26</v>
      </c>
      <c r="D16" s="7" t="s">
        <v>27</v>
      </c>
      <c r="E16" s="7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7" t="s">
        <v>33</v>
      </c>
    </row>
    <row r="17" spans="1:10" x14ac:dyDescent="0.2">
      <c r="A17" s="9" t="s">
        <v>34</v>
      </c>
      <c r="B17" s="24" t="s">
        <v>8</v>
      </c>
      <c r="C17" s="25" t="s">
        <v>35</v>
      </c>
      <c r="D17" s="5" t="s">
        <v>23</v>
      </c>
      <c r="E17" s="26" t="s">
        <v>36</v>
      </c>
      <c r="F17" s="10">
        <v>18</v>
      </c>
      <c r="G17" s="27">
        <v>60</v>
      </c>
      <c r="H17" s="54"/>
      <c r="I17" s="23"/>
      <c r="J17" s="28" t="str">
        <f>IF(I17="","",$B$3-SUM($I$17:I17))</f>
        <v/>
      </c>
    </row>
    <row r="18" spans="1:10" x14ac:dyDescent="0.2">
      <c r="A18" s="9" t="s">
        <v>37</v>
      </c>
      <c r="B18" s="24" t="s">
        <v>8</v>
      </c>
      <c r="C18" s="25" t="s">
        <v>38</v>
      </c>
      <c r="D18" s="5" t="s">
        <v>39</v>
      </c>
      <c r="E18" s="26" t="s">
        <v>40</v>
      </c>
      <c r="F18" s="10">
        <v>2</v>
      </c>
      <c r="G18" s="27">
        <v>15</v>
      </c>
      <c r="H18" s="22"/>
      <c r="I18" s="23"/>
      <c r="J18" s="28" t="str">
        <f>IF(I18="","",$B$3-SUM($I$17:I18))</f>
        <v/>
      </c>
    </row>
    <row r="19" spans="1:10" x14ac:dyDescent="0.2">
      <c r="A19" s="9" t="s">
        <v>41</v>
      </c>
      <c r="B19" s="24" t="s">
        <v>8</v>
      </c>
      <c r="C19" s="25" t="s">
        <v>42</v>
      </c>
      <c r="D19" s="5" t="s">
        <v>43</v>
      </c>
      <c r="E19" s="26" t="s">
        <v>44</v>
      </c>
      <c r="F19" s="10">
        <v>1</v>
      </c>
      <c r="G19" s="27">
        <v>5</v>
      </c>
      <c r="H19" s="22"/>
      <c r="I19" s="23"/>
      <c r="J19" s="28" t="str">
        <f>IF(I19="","",$B$3-SUM($I$17:I19))</f>
        <v/>
      </c>
    </row>
    <row r="20" spans="1:10" x14ac:dyDescent="0.2">
      <c r="A20" s="12" t="s">
        <v>45</v>
      </c>
      <c r="B20" s="29" t="s">
        <v>10</v>
      </c>
      <c r="C20" s="25" t="s">
        <v>46</v>
      </c>
      <c r="D20" s="5" t="s">
        <v>47</v>
      </c>
      <c r="E20" s="26" t="s">
        <v>40</v>
      </c>
      <c r="F20" s="10">
        <v>32</v>
      </c>
      <c r="G20" s="27">
        <v>55</v>
      </c>
      <c r="H20" s="22"/>
      <c r="I20" s="23"/>
      <c r="J20" s="28" t="str">
        <f>IF(I20="","",$B$3-SUM($I$17:I20))</f>
        <v/>
      </c>
    </row>
    <row r="21" spans="1:10" x14ac:dyDescent="0.2">
      <c r="A21" s="12" t="s">
        <v>48</v>
      </c>
      <c r="B21" s="29" t="s">
        <v>10</v>
      </c>
      <c r="C21" s="25" t="s">
        <v>49</v>
      </c>
      <c r="D21" s="5" t="s">
        <v>50</v>
      </c>
      <c r="E21" s="26" t="s">
        <v>36</v>
      </c>
      <c r="F21" s="10">
        <v>17</v>
      </c>
      <c r="G21" s="27">
        <v>25</v>
      </c>
      <c r="H21" s="22"/>
      <c r="I21" s="23"/>
      <c r="J21" s="28" t="str">
        <f>IF(I21="","",$B$3-SUM($I$17:I21))</f>
        <v/>
      </c>
    </row>
    <row r="22" spans="1:10" x14ac:dyDescent="0.2">
      <c r="A22" s="12" t="s">
        <v>51</v>
      </c>
      <c r="B22" s="29" t="s">
        <v>10</v>
      </c>
      <c r="C22" s="25" t="s">
        <v>52</v>
      </c>
      <c r="D22" s="5" t="s">
        <v>53</v>
      </c>
      <c r="E22" s="26" t="s">
        <v>40</v>
      </c>
      <c r="F22" s="10">
        <v>16</v>
      </c>
      <c r="G22" s="27">
        <v>15</v>
      </c>
      <c r="H22" s="22"/>
      <c r="I22" s="23"/>
      <c r="J22" s="28" t="str">
        <f>IF(I22="","",$B$3-SUM($I$17:I22))</f>
        <v/>
      </c>
    </row>
    <row r="23" spans="1:10" x14ac:dyDescent="0.2">
      <c r="A23" s="12" t="s">
        <v>54</v>
      </c>
      <c r="B23" s="29" t="s">
        <v>10</v>
      </c>
      <c r="C23" s="25" t="s">
        <v>55</v>
      </c>
      <c r="D23" s="5" t="s">
        <v>56</v>
      </c>
      <c r="E23" s="26" t="s">
        <v>57</v>
      </c>
      <c r="F23" s="10">
        <v>11</v>
      </c>
      <c r="G23" s="27">
        <v>12</v>
      </c>
      <c r="H23" s="22"/>
      <c r="I23" s="23"/>
      <c r="J23" s="28" t="str">
        <f>IF(I23="","",$B$3-SUM($I$17:I23))</f>
        <v/>
      </c>
    </row>
    <row r="24" spans="1:10" x14ac:dyDescent="0.2">
      <c r="A24" s="12" t="s">
        <v>58</v>
      </c>
      <c r="B24" s="29" t="s">
        <v>10</v>
      </c>
      <c r="C24" s="25" t="s">
        <v>59</v>
      </c>
      <c r="D24" s="5" t="s">
        <v>60</v>
      </c>
      <c r="E24" s="26" t="s">
        <v>61</v>
      </c>
      <c r="F24" s="10">
        <v>8</v>
      </c>
      <c r="G24" s="27">
        <v>10</v>
      </c>
      <c r="H24" s="22"/>
      <c r="I24" s="23"/>
      <c r="J24" s="28" t="str">
        <f>IF(I24="","",$B$3-SUM($I$17:I24))</f>
        <v/>
      </c>
    </row>
    <row r="25" spans="1:10" x14ac:dyDescent="0.2">
      <c r="A25" s="12" t="s">
        <v>62</v>
      </c>
      <c r="B25" s="29" t="s">
        <v>10</v>
      </c>
      <c r="C25" s="25" t="s">
        <v>63</v>
      </c>
      <c r="D25" s="5" t="s">
        <v>64</v>
      </c>
      <c r="E25" s="26" t="s">
        <v>65</v>
      </c>
      <c r="F25" s="10">
        <v>8</v>
      </c>
      <c r="G25" s="27">
        <v>6</v>
      </c>
      <c r="H25" s="22"/>
      <c r="I25" s="23"/>
      <c r="J25" s="28" t="str">
        <f>IF(I25="","",$B$3-SUM($I$17:I25))</f>
        <v/>
      </c>
    </row>
    <row r="26" spans="1:10" x14ac:dyDescent="0.2">
      <c r="A26" s="12" t="s">
        <v>66</v>
      </c>
      <c r="B26" s="29" t="s">
        <v>10</v>
      </c>
      <c r="C26" s="25" t="s">
        <v>67</v>
      </c>
      <c r="D26" s="5" t="s">
        <v>68</v>
      </c>
      <c r="E26" s="26" t="s">
        <v>69</v>
      </c>
      <c r="F26" s="10">
        <v>5</v>
      </c>
      <c r="G26" s="27">
        <v>4</v>
      </c>
      <c r="H26" s="22"/>
      <c r="I26" s="23"/>
      <c r="J26" s="28" t="str">
        <f>IF(I26="","",$B$3-SUM($I$17:I26))</f>
        <v/>
      </c>
    </row>
    <row r="27" spans="1:10" x14ac:dyDescent="0.2">
      <c r="A27" s="12" t="s">
        <v>70</v>
      </c>
      <c r="B27" s="29" t="s">
        <v>10</v>
      </c>
      <c r="C27" s="25" t="s">
        <v>71</v>
      </c>
      <c r="D27" s="5" t="s">
        <v>72</v>
      </c>
      <c r="E27" s="26" t="s">
        <v>73</v>
      </c>
      <c r="F27" s="10">
        <v>8</v>
      </c>
      <c r="G27" s="27">
        <v>3</v>
      </c>
      <c r="H27" s="22"/>
      <c r="I27" s="23"/>
      <c r="J27" s="28" t="str">
        <f>IF(I27="","",$B$3-SUM($I$17:I27))</f>
        <v/>
      </c>
    </row>
    <row r="28" spans="1:10" x14ac:dyDescent="0.2">
      <c r="A28" s="13" t="s">
        <v>74</v>
      </c>
      <c r="B28" s="30" t="s">
        <v>12</v>
      </c>
      <c r="C28" s="25" t="s">
        <v>75</v>
      </c>
      <c r="D28" s="5" t="s">
        <v>76</v>
      </c>
      <c r="E28" s="26" t="s">
        <v>77</v>
      </c>
      <c r="F28" s="10">
        <v>30</v>
      </c>
      <c r="G28" s="27">
        <v>90</v>
      </c>
      <c r="H28" s="22"/>
      <c r="I28" s="23"/>
      <c r="J28" s="28" t="str">
        <f>IF(I28="","",$B$3-SUM($I$17:I28))</f>
        <v/>
      </c>
    </row>
    <row r="29" spans="1:10" x14ac:dyDescent="0.2">
      <c r="A29" s="13" t="s">
        <v>78</v>
      </c>
      <c r="B29" s="30" t="s">
        <v>12</v>
      </c>
      <c r="C29" s="25" t="s">
        <v>79</v>
      </c>
      <c r="D29" s="5" t="s">
        <v>80</v>
      </c>
      <c r="E29" s="26" t="s">
        <v>40</v>
      </c>
      <c r="F29" s="10">
        <v>27</v>
      </c>
      <c r="G29" s="27">
        <v>70</v>
      </c>
      <c r="H29" s="22"/>
      <c r="I29" s="23"/>
      <c r="J29" s="28" t="str">
        <f>IF(I29="","",$B$3-SUM($I$17:I29))</f>
        <v/>
      </c>
    </row>
    <row r="30" spans="1:10" x14ac:dyDescent="0.2">
      <c r="A30" s="13" t="s">
        <v>81</v>
      </c>
      <c r="B30" s="30" t="s">
        <v>12</v>
      </c>
      <c r="C30" s="25" t="s">
        <v>82</v>
      </c>
      <c r="D30" s="5" t="s">
        <v>83</v>
      </c>
      <c r="E30" s="26" t="s">
        <v>84</v>
      </c>
      <c r="F30" s="10">
        <v>15</v>
      </c>
      <c r="G30" s="27">
        <v>40</v>
      </c>
      <c r="H30" s="22"/>
      <c r="I30" s="23"/>
      <c r="J30" s="28" t="str">
        <f>IF(I30="","",$B$3-SUM($I$17:I30))</f>
        <v/>
      </c>
    </row>
    <row r="31" spans="1:10" x14ac:dyDescent="0.2">
      <c r="A31" s="13" t="s">
        <v>85</v>
      </c>
      <c r="B31" s="30" t="s">
        <v>12</v>
      </c>
      <c r="C31" s="25" t="s">
        <v>86</v>
      </c>
      <c r="D31" s="5" t="s">
        <v>87</v>
      </c>
      <c r="E31" s="26" t="s">
        <v>88</v>
      </c>
      <c r="F31" s="10">
        <v>13</v>
      </c>
      <c r="G31" s="27">
        <v>25</v>
      </c>
      <c r="H31" s="22"/>
      <c r="I31" s="23"/>
      <c r="J31" s="28" t="str">
        <f>IF(I31="","",$B$3-SUM($I$17:I31))</f>
        <v/>
      </c>
    </row>
    <row r="32" spans="1:10" x14ac:dyDescent="0.2">
      <c r="A32" s="13" t="s">
        <v>89</v>
      </c>
      <c r="B32" s="30" t="s">
        <v>12</v>
      </c>
      <c r="C32" s="25" t="s">
        <v>90</v>
      </c>
      <c r="D32" s="5" t="s">
        <v>91</v>
      </c>
      <c r="E32" s="26" t="s">
        <v>73</v>
      </c>
      <c r="F32" s="10">
        <v>9</v>
      </c>
      <c r="G32" s="27">
        <v>15</v>
      </c>
      <c r="H32" s="22"/>
      <c r="I32" s="23"/>
      <c r="J32" s="28" t="str">
        <f>IF(I32="","",$B$3-SUM($I$17:I32))</f>
        <v/>
      </c>
    </row>
    <row r="33" spans="1:10" x14ac:dyDescent="0.2">
      <c r="A33" s="13" t="s">
        <v>92</v>
      </c>
      <c r="B33" s="30" t="s">
        <v>12</v>
      </c>
      <c r="C33" s="25" t="s">
        <v>93</v>
      </c>
      <c r="D33" s="5" t="s">
        <v>94</v>
      </c>
      <c r="E33" s="26" t="s">
        <v>95</v>
      </c>
      <c r="F33" s="10">
        <v>10</v>
      </c>
      <c r="G33" s="27">
        <v>12</v>
      </c>
      <c r="H33" s="22"/>
      <c r="I33" s="23"/>
      <c r="J33" s="28" t="str">
        <f>IF(I33="","",$B$3-SUM($I$17:I33))</f>
        <v/>
      </c>
    </row>
    <row r="34" spans="1:10" x14ac:dyDescent="0.2">
      <c r="A34" s="13" t="s">
        <v>96</v>
      </c>
      <c r="B34" s="30" t="s">
        <v>12</v>
      </c>
      <c r="C34" s="25" t="s">
        <v>97</v>
      </c>
      <c r="D34" s="5" t="s">
        <v>98</v>
      </c>
      <c r="E34" s="26" t="s">
        <v>99</v>
      </c>
      <c r="F34" s="10">
        <v>5</v>
      </c>
      <c r="G34" s="27">
        <v>8</v>
      </c>
      <c r="H34" s="22"/>
      <c r="I34" s="23"/>
      <c r="J34" s="28" t="str">
        <f>IF(I34="","",$B$3-SUM($I$17:I34))</f>
        <v/>
      </c>
    </row>
    <row r="35" spans="1:10" x14ac:dyDescent="0.2">
      <c r="A35" s="13" t="s">
        <v>100</v>
      </c>
      <c r="B35" s="30" t="s">
        <v>12</v>
      </c>
      <c r="C35" s="25" t="s">
        <v>101</v>
      </c>
      <c r="D35" s="5" t="s">
        <v>102</v>
      </c>
      <c r="E35" s="26" t="s">
        <v>69</v>
      </c>
      <c r="F35" s="10">
        <v>4</v>
      </c>
      <c r="G35" s="27">
        <v>5</v>
      </c>
      <c r="H35" s="22"/>
      <c r="I35" s="23"/>
      <c r="J35" s="28" t="str">
        <f>IF(I35="","",$B$3-SUM($I$17:I35))</f>
        <v/>
      </c>
    </row>
    <row r="36" spans="1:10" x14ac:dyDescent="0.2">
      <c r="A36" s="14" t="s">
        <v>103</v>
      </c>
      <c r="B36" s="31" t="s">
        <v>14</v>
      </c>
      <c r="C36" s="25" t="s">
        <v>104</v>
      </c>
      <c r="D36" s="5" t="s">
        <v>105</v>
      </c>
      <c r="E36" s="26" t="s">
        <v>40</v>
      </c>
      <c r="F36" s="10">
        <v>35</v>
      </c>
      <c r="G36" s="27">
        <v>220</v>
      </c>
      <c r="H36" s="22"/>
      <c r="I36" s="23"/>
      <c r="J36" s="28" t="str">
        <f>IF(I36="","",$B$3-SUM($I$17:I36))</f>
        <v/>
      </c>
    </row>
    <row r="37" spans="1:10" x14ac:dyDescent="0.2">
      <c r="A37" s="14" t="s">
        <v>106</v>
      </c>
      <c r="B37" s="31" t="s">
        <v>14</v>
      </c>
      <c r="C37" s="25" t="s">
        <v>107</v>
      </c>
      <c r="D37" s="5" t="s">
        <v>108</v>
      </c>
      <c r="E37" s="26" t="s">
        <v>84</v>
      </c>
      <c r="F37" s="10">
        <v>28</v>
      </c>
      <c r="G37" s="27">
        <v>150</v>
      </c>
      <c r="H37" s="22"/>
      <c r="I37" s="23"/>
      <c r="J37" s="28" t="str">
        <f>IF(I37="","",$B$3-SUM($I$17:I37))</f>
        <v/>
      </c>
    </row>
    <row r="38" spans="1:10" x14ac:dyDescent="0.2">
      <c r="A38" s="14" t="s">
        <v>109</v>
      </c>
      <c r="B38" s="31" t="s">
        <v>14</v>
      </c>
      <c r="C38" s="25" t="s">
        <v>110</v>
      </c>
      <c r="D38" s="5" t="s">
        <v>111</v>
      </c>
      <c r="E38" s="26" t="s">
        <v>73</v>
      </c>
      <c r="F38" s="10">
        <v>19</v>
      </c>
      <c r="G38" s="27">
        <v>80</v>
      </c>
      <c r="H38" s="22"/>
      <c r="I38" s="23"/>
      <c r="J38" s="28" t="str">
        <f>IF(I38="","",$B$3-SUM($I$17:I38))</f>
        <v/>
      </c>
    </row>
    <row r="39" spans="1:10" x14ac:dyDescent="0.2">
      <c r="A39" s="14" t="s">
        <v>112</v>
      </c>
      <c r="B39" s="31" t="s">
        <v>14</v>
      </c>
      <c r="C39" s="25" t="s">
        <v>113</v>
      </c>
      <c r="D39" s="5" t="s">
        <v>114</v>
      </c>
      <c r="E39" s="26" t="s">
        <v>36</v>
      </c>
      <c r="F39" s="10">
        <v>14</v>
      </c>
      <c r="G39" s="27">
        <v>45</v>
      </c>
      <c r="H39" s="22"/>
      <c r="I39" s="23"/>
      <c r="J39" s="28" t="str">
        <f>IF(I39="","",$B$3-SUM($I$17:I39))</f>
        <v/>
      </c>
    </row>
    <row r="40" spans="1:10" x14ac:dyDescent="0.2">
      <c r="A40" s="14" t="s">
        <v>115</v>
      </c>
      <c r="B40" s="31" t="s">
        <v>14</v>
      </c>
      <c r="C40" s="25" t="s">
        <v>116</v>
      </c>
      <c r="D40" s="5" t="s">
        <v>117</v>
      </c>
      <c r="E40" s="26" t="s">
        <v>57</v>
      </c>
      <c r="F40" s="10">
        <v>11</v>
      </c>
      <c r="G40" s="27">
        <v>20</v>
      </c>
      <c r="H40" s="22"/>
      <c r="I40" s="23"/>
      <c r="J40" s="28" t="str">
        <f>IF(I40="","",$B$3-SUM($I$17:I40))</f>
        <v/>
      </c>
    </row>
    <row r="41" spans="1:10" x14ac:dyDescent="0.2">
      <c r="A41" s="14" t="s">
        <v>118</v>
      </c>
      <c r="B41" s="31" t="s">
        <v>14</v>
      </c>
      <c r="C41" s="25" t="s">
        <v>119</v>
      </c>
      <c r="D41" s="5" t="s">
        <v>120</v>
      </c>
      <c r="E41" s="26" t="s">
        <v>69</v>
      </c>
      <c r="F41" s="10">
        <v>9</v>
      </c>
      <c r="G41" s="27">
        <v>10</v>
      </c>
      <c r="H41" s="22"/>
      <c r="I41" s="23"/>
      <c r="J41" s="28" t="str">
        <f>IF(I41="","",$B$3-SUM($I$17:I41))</f>
        <v/>
      </c>
    </row>
    <row r="43" spans="1:10" ht="15" customHeight="1" x14ac:dyDescent="0.2">
      <c r="A43" s="2" t="s">
        <v>121</v>
      </c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mergeCells count="1">
    <mergeCell ref="A43:J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zoomScaleNormal="100" workbookViewId="0"/>
  </sheetViews>
  <sheetFormatPr baseColWidth="10" defaultColWidth="8.6640625" defaultRowHeight="15" x14ac:dyDescent="0.2"/>
  <sheetData>
    <row r="1" spans="1:1" ht="17" x14ac:dyDescent="0.2">
      <c r="A1" s="32" t="s">
        <v>122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8" customWidth="1"/>
    <col min="3" max="3" width="11" customWidth="1"/>
    <col min="4" max="5" width="6" customWidth="1"/>
    <col min="6" max="7" width="16" customWidth="1"/>
    <col min="8" max="8" width="34" customWidth="1"/>
    <col min="9" max="9" width="9" customWidth="1"/>
    <col min="10" max="10" width="52" customWidth="1"/>
  </cols>
  <sheetData>
    <row r="1" spans="1:10" ht="18" x14ac:dyDescent="0.2">
      <c r="A1" s="33" t="s">
        <v>123</v>
      </c>
    </row>
    <row r="2" spans="1:10" x14ac:dyDescent="0.2">
      <c r="A2" s="4" t="s">
        <v>124</v>
      </c>
    </row>
    <row r="4" spans="1:10" x14ac:dyDescent="0.2">
      <c r="A4" s="1" t="s">
        <v>125</v>
      </c>
      <c r="B4" s="1"/>
      <c r="C4" s="1"/>
      <c r="D4" s="1"/>
      <c r="E4" s="1"/>
      <c r="F4" s="1"/>
      <c r="G4" s="1"/>
      <c r="H4" s="1"/>
      <c r="I4" s="1"/>
      <c r="J4" s="1"/>
    </row>
    <row r="5" spans="1:10" ht="28" x14ac:dyDescent="0.2">
      <c r="A5" s="34" t="s">
        <v>126</v>
      </c>
      <c r="B5" s="34" t="s">
        <v>127</v>
      </c>
      <c r="C5" s="34" t="s">
        <v>28</v>
      </c>
      <c r="D5" s="34" t="s">
        <v>128</v>
      </c>
      <c r="E5" s="34" t="s">
        <v>129</v>
      </c>
      <c r="F5" s="34" t="s">
        <v>130</v>
      </c>
      <c r="G5" s="34" t="s">
        <v>131</v>
      </c>
      <c r="H5" s="34" t="s">
        <v>132</v>
      </c>
      <c r="I5" s="34" t="s">
        <v>133</v>
      </c>
      <c r="J5" s="34" t="s">
        <v>134</v>
      </c>
    </row>
    <row r="6" spans="1:10" ht="26" x14ac:dyDescent="0.2">
      <c r="A6" s="16">
        <v>1</v>
      </c>
      <c r="B6" s="5" t="s">
        <v>23</v>
      </c>
      <c r="C6" s="35" t="s">
        <v>36</v>
      </c>
      <c r="D6" s="10">
        <v>18</v>
      </c>
      <c r="E6" s="10">
        <v>65</v>
      </c>
      <c r="F6" s="35" t="s">
        <v>135</v>
      </c>
      <c r="G6" s="35" t="s">
        <v>136</v>
      </c>
      <c r="H6" s="36" t="s">
        <v>137</v>
      </c>
      <c r="I6" s="10">
        <v>65</v>
      </c>
      <c r="J6" s="36" t="s">
        <v>138</v>
      </c>
    </row>
    <row r="7" spans="1:10" ht="26" x14ac:dyDescent="0.2">
      <c r="A7" s="37">
        <v>2</v>
      </c>
      <c r="B7" s="38" t="s">
        <v>139</v>
      </c>
      <c r="C7" s="39" t="s">
        <v>40</v>
      </c>
      <c r="D7" s="40">
        <v>17</v>
      </c>
      <c r="E7" s="40">
        <v>63</v>
      </c>
      <c r="F7" s="39" t="s">
        <v>135</v>
      </c>
      <c r="G7" s="39" t="s">
        <v>136</v>
      </c>
      <c r="H7" s="41" t="s">
        <v>140</v>
      </c>
      <c r="I7" s="40">
        <v>58</v>
      </c>
      <c r="J7" s="41" t="s">
        <v>141</v>
      </c>
    </row>
    <row r="8" spans="1:10" ht="26" x14ac:dyDescent="0.2">
      <c r="A8" s="42">
        <v>3</v>
      </c>
      <c r="B8" s="43" t="s">
        <v>142</v>
      </c>
      <c r="C8" s="35" t="s">
        <v>77</v>
      </c>
      <c r="D8" s="10">
        <v>16</v>
      </c>
      <c r="E8" s="10">
        <v>56</v>
      </c>
      <c r="F8" s="35" t="s">
        <v>135</v>
      </c>
      <c r="G8" s="35" t="s">
        <v>136</v>
      </c>
      <c r="H8" s="36" t="s">
        <v>143</v>
      </c>
      <c r="I8" s="10">
        <v>55</v>
      </c>
      <c r="J8" s="36" t="s">
        <v>144</v>
      </c>
    </row>
    <row r="9" spans="1:10" x14ac:dyDescent="0.2">
      <c r="A9" s="37">
        <v>4</v>
      </c>
      <c r="B9" s="38" t="s">
        <v>145</v>
      </c>
      <c r="C9" s="39" t="s">
        <v>73</v>
      </c>
      <c r="D9" s="40">
        <v>16</v>
      </c>
      <c r="E9" s="40">
        <v>52</v>
      </c>
      <c r="F9" s="39" t="s">
        <v>135</v>
      </c>
      <c r="G9" s="39" t="s">
        <v>136</v>
      </c>
      <c r="H9" s="41" t="s">
        <v>146</v>
      </c>
      <c r="I9" s="40">
        <v>50</v>
      </c>
      <c r="J9" s="41" t="s">
        <v>147</v>
      </c>
    </row>
    <row r="10" spans="1:10" x14ac:dyDescent="0.2">
      <c r="A10" s="42">
        <v>5</v>
      </c>
      <c r="B10" s="43" t="s">
        <v>148</v>
      </c>
      <c r="C10" s="35" t="s">
        <v>149</v>
      </c>
      <c r="D10" s="10">
        <v>15</v>
      </c>
      <c r="E10" s="10">
        <v>50</v>
      </c>
      <c r="F10" s="35" t="s">
        <v>135</v>
      </c>
      <c r="G10" s="35" t="s">
        <v>136</v>
      </c>
      <c r="H10" s="36" t="s">
        <v>150</v>
      </c>
      <c r="I10" s="10">
        <v>48</v>
      </c>
      <c r="J10" s="36" t="s">
        <v>151</v>
      </c>
    </row>
    <row r="11" spans="1:10" x14ac:dyDescent="0.2">
      <c r="A11" s="37">
        <v>6</v>
      </c>
      <c r="B11" s="38" t="s">
        <v>152</v>
      </c>
      <c r="C11" s="39" t="s">
        <v>153</v>
      </c>
      <c r="D11" s="40">
        <v>13</v>
      </c>
      <c r="E11" s="40">
        <v>45</v>
      </c>
      <c r="F11" s="39" t="s">
        <v>135</v>
      </c>
      <c r="G11" s="39" t="s">
        <v>136</v>
      </c>
      <c r="H11" s="41" t="s">
        <v>154</v>
      </c>
      <c r="I11" s="40">
        <v>40</v>
      </c>
      <c r="J11" s="41" t="s">
        <v>155</v>
      </c>
    </row>
    <row r="12" spans="1:10" ht="26" x14ac:dyDescent="0.2">
      <c r="A12" s="42">
        <v>7</v>
      </c>
      <c r="B12" s="43" t="s">
        <v>156</v>
      </c>
      <c r="C12" s="35" t="s">
        <v>84</v>
      </c>
      <c r="D12" s="10">
        <v>11</v>
      </c>
      <c r="E12" s="10">
        <v>45</v>
      </c>
      <c r="F12" s="35" t="s">
        <v>157</v>
      </c>
      <c r="G12" s="35" t="s">
        <v>136</v>
      </c>
      <c r="H12" s="36" t="s">
        <v>158</v>
      </c>
      <c r="I12" s="10">
        <v>35</v>
      </c>
      <c r="J12" s="36" t="s">
        <v>159</v>
      </c>
    </row>
    <row r="13" spans="1:10" x14ac:dyDescent="0.2">
      <c r="A13" s="37">
        <v>8</v>
      </c>
      <c r="B13" s="38" t="s">
        <v>160</v>
      </c>
      <c r="C13" s="39" t="s">
        <v>61</v>
      </c>
      <c r="D13" s="40">
        <v>10</v>
      </c>
      <c r="E13" s="40">
        <v>37</v>
      </c>
      <c r="F13" s="39" t="s">
        <v>157</v>
      </c>
      <c r="G13" s="39" t="s">
        <v>136</v>
      </c>
      <c r="H13" s="41" t="s">
        <v>161</v>
      </c>
      <c r="I13" s="40">
        <v>28</v>
      </c>
      <c r="J13" s="41" t="s">
        <v>162</v>
      </c>
    </row>
    <row r="14" spans="1:10" ht="26" x14ac:dyDescent="0.2">
      <c r="A14" s="42">
        <v>9</v>
      </c>
      <c r="B14" s="43" t="s">
        <v>163</v>
      </c>
      <c r="C14" s="35" t="s">
        <v>164</v>
      </c>
      <c r="D14" s="10">
        <v>9</v>
      </c>
      <c r="E14" s="10">
        <v>40</v>
      </c>
      <c r="F14" s="35" t="s">
        <v>165</v>
      </c>
      <c r="G14" s="35" t="s">
        <v>136</v>
      </c>
      <c r="H14" s="36" t="s">
        <v>166</v>
      </c>
      <c r="I14" s="10">
        <v>25</v>
      </c>
      <c r="J14" s="36" t="s">
        <v>167</v>
      </c>
    </row>
    <row r="15" spans="1:10" x14ac:dyDescent="0.2">
      <c r="A15" s="37">
        <v>10</v>
      </c>
      <c r="B15" s="38" t="s">
        <v>168</v>
      </c>
      <c r="C15" s="39" t="s">
        <v>88</v>
      </c>
      <c r="D15" s="40">
        <v>9</v>
      </c>
      <c r="E15" s="40">
        <v>30</v>
      </c>
      <c r="F15" s="39" t="s">
        <v>157</v>
      </c>
      <c r="G15" s="39" t="s">
        <v>136</v>
      </c>
      <c r="H15" s="41" t="s">
        <v>169</v>
      </c>
      <c r="I15" s="40">
        <v>24</v>
      </c>
      <c r="J15" s="41" t="s">
        <v>170</v>
      </c>
    </row>
    <row r="16" spans="1:10" x14ac:dyDescent="0.2">
      <c r="A16" s="42">
        <v>11</v>
      </c>
      <c r="B16" s="43" t="s">
        <v>171</v>
      </c>
      <c r="C16" s="35" t="s">
        <v>172</v>
      </c>
      <c r="D16" s="10">
        <v>9</v>
      </c>
      <c r="E16" s="10">
        <v>27</v>
      </c>
      <c r="F16" s="35" t="s">
        <v>135</v>
      </c>
      <c r="G16" s="35" t="s">
        <v>136</v>
      </c>
      <c r="H16" s="36" t="s">
        <v>173</v>
      </c>
      <c r="I16" s="10">
        <v>22</v>
      </c>
      <c r="J16" s="36" t="s">
        <v>174</v>
      </c>
    </row>
    <row r="18" spans="1:10" x14ac:dyDescent="0.2">
      <c r="A18" s="1" t="s">
        <v>175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ht="28" x14ac:dyDescent="0.2">
      <c r="A19" s="34" t="s">
        <v>126</v>
      </c>
      <c r="B19" s="34" t="s">
        <v>127</v>
      </c>
      <c r="C19" s="34" t="s">
        <v>28</v>
      </c>
      <c r="D19" s="34" t="s">
        <v>128</v>
      </c>
      <c r="E19" s="34" t="s">
        <v>129</v>
      </c>
      <c r="F19" s="34" t="s">
        <v>130</v>
      </c>
      <c r="G19" s="34" t="s">
        <v>131</v>
      </c>
      <c r="H19" s="34" t="s">
        <v>132</v>
      </c>
      <c r="I19" s="34" t="s">
        <v>133</v>
      </c>
      <c r="J19" s="34" t="s">
        <v>134</v>
      </c>
    </row>
    <row r="20" spans="1:10" x14ac:dyDescent="0.2">
      <c r="A20" s="16">
        <v>1</v>
      </c>
      <c r="B20" s="5" t="s">
        <v>39</v>
      </c>
      <c r="C20" s="35" t="s">
        <v>40</v>
      </c>
      <c r="D20" s="10">
        <v>2</v>
      </c>
      <c r="E20" s="10">
        <v>5</v>
      </c>
      <c r="F20" s="35" t="s">
        <v>176</v>
      </c>
      <c r="G20" s="35" t="s">
        <v>136</v>
      </c>
      <c r="H20" s="36" t="s">
        <v>177</v>
      </c>
      <c r="I20" s="10">
        <v>6</v>
      </c>
      <c r="J20" s="36" t="s">
        <v>178</v>
      </c>
    </row>
    <row r="21" spans="1:10" x14ac:dyDescent="0.2">
      <c r="A21" s="37">
        <v>2</v>
      </c>
      <c r="B21" s="38" t="s">
        <v>179</v>
      </c>
      <c r="C21" s="39" t="s">
        <v>99</v>
      </c>
      <c r="D21" s="40">
        <v>8</v>
      </c>
      <c r="E21" s="40">
        <v>25</v>
      </c>
      <c r="F21" s="39" t="s">
        <v>135</v>
      </c>
      <c r="G21" s="39" t="s">
        <v>136</v>
      </c>
      <c r="H21" s="41" t="s">
        <v>180</v>
      </c>
      <c r="I21" s="40">
        <v>18</v>
      </c>
      <c r="J21" s="41" t="s">
        <v>181</v>
      </c>
    </row>
    <row r="22" spans="1:10" x14ac:dyDescent="0.2">
      <c r="A22" s="42">
        <v>3</v>
      </c>
      <c r="B22" s="43" t="s">
        <v>171</v>
      </c>
      <c r="C22" s="35" t="s">
        <v>172</v>
      </c>
      <c r="D22" s="10">
        <v>9</v>
      </c>
      <c r="E22" s="10">
        <v>27</v>
      </c>
      <c r="F22" s="35" t="s">
        <v>135</v>
      </c>
      <c r="G22" s="35" t="s">
        <v>136</v>
      </c>
      <c r="H22" s="36" t="s">
        <v>182</v>
      </c>
      <c r="I22" s="10">
        <v>22</v>
      </c>
      <c r="J22" s="36" t="s">
        <v>183</v>
      </c>
    </row>
    <row r="23" spans="1:10" x14ac:dyDescent="0.2">
      <c r="A23" s="37">
        <v>4</v>
      </c>
      <c r="B23" s="38" t="s">
        <v>184</v>
      </c>
      <c r="C23" s="39" t="s">
        <v>185</v>
      </c>
      <c r="D23" s="40">
        <v>9</v>
      </c>
      <c r="E23" s="40">
        <v>29</v>
      </c>
      <c r="F23" s="39" t="s">
        <v>157</v>
      </c>
      <c r="G23" s="39" t="s">
        <v>136</v>
      </c>
      <c r="H23" s="41" t="s">
        <v>186</v>
      </c>
      <c r="I23" s="40">
        <v>14</v>
      </c>
      <c r="J23" s="41" t="s">
        <v>187</v>
      </c>
    </row>
    <row r="24" spans="1:10" x14ac:dyDescent="0.2">
      <c r="A24" s="42">
        <v>5</v>
      </c>
      <c r="B24" s="43" t="s">
        <v>188</v>
      </c>
      <c r="C24" s="35" t="s">
        <v>65</v>
      </c>
      <c r="D24" s="10">
        <v>7</v>
      </c>
      <c r="E24" s="10">
        <v>20</v>
      </c>
      <c r="F24" s="35" t="s">
        <v>189</v>
      </c>
      <c r="G24" s="35" t="s">
        <v>136</v>
      </c>
      <c r="H24" s="36" t="s">
        <v>190</v>
      </c>
      <c r="I24" s="10">
        <v>12</v>
      </c>
      <c r="J24" s="36" t="s">
        <v>191</v>
      </c>
    </row>
    <row r="25" spans="1:10" x14ac:dyDescent="0.2">
      <c r="A25" s="37">
        <v>6</v>
      </c>
      <c r="B25" s="38" t="s">
        <v>192</v>
      </c>
      <c r="C25" s="39" t="s">
        <v>57</v>
      </c>
      <c r="D25" s="40">
        <v>8</v>
      </c>
      <c r="E25" s="40">
        <v>18</v>
      </c>
      <c r="F25" s="39" t="s">
        <v>157</v>
      </c>
      <c r="G25" s="39" t="s">
        <v>136</v>
      </c>
      <c r="H25" s="41" t="s">
        <v>193</v>
      </c>
      <c r="I25" s="40">
        <v>10</v>
      </c>
      <c r="J25" s="41" t="s">
        <v>194</v>
      </c>
    </row>
    <row r="26" spans="1:10" x14ac:dyDescent="0.2">
      <c r="A26" s="42">
        <v>7</v>
      </c>
      <c r="B26" s="43" t="s">
        <v>195</v>
      </c>
      <c r="C26" s="35" t="s">
        <v>95</v>
      </c>
      <c r="D26" s="10">
        <v>7</v>
      </c>
      <c r="E26" s="10">
        <v>15</v>
      </c>
      <c r="F26" s="35" t="s">
        <v>157</v>
      </c>
      <c r="G26" s="35" t="s">
        <v>136</v>
      </c>
      <c r="H26" s="36" t="s">
        <v>196</v>
      </c>
      <c r="I26" s="10">
        <v>10</v>
      </c>
      <c r="J26" s="36" t="s">
        <v>197</v>
      </c>
    </row>
    <row r="27" spans="1:10" x14ac:dyDescent="0.2">
      <c r="A27" s="37">
        <v>8</v>
      </c>
      <c r="B27" s="38" t="s">
        <v>198</v>
      </c>
      <c r="C27" s="39" t="s">
        <v>199</v>
      </c>
      <c r="D27" s="40">
        <v>6</v>
      </c>
      <c r="E27" s="40">
        <v>14</v>
      </c>
      <c r="F27" s="39" t="s">
        <v>135</v>
      </c>
      <c r="G27" s="39" t="s">
        <v>136</v>
      </c>
      <c r="H27" s="41" t="s">
        <v>200</v>
      </c>
      <c r="I27" s="40">
        <v>10</v>
      </c>
      <c r="J27" s="41" t="s">
        <v>201</v>
      </c>
    </row>
    <row r="28" spans="1:10" x14ac:dyDescent="0.2">
      <c r="A28" s="42">
        <v>9</v>
      </c>
      <c r="B28" s="43" t="s">
        <v>168</v>
      </c>
      <c r="C28" s="35" t="s">
        <v>88</v>
      </c>
      <c r="D28" s="10">
        <v>9</v>
      </c>
      <c r="E28" s="10">
        <v>30</v>
      </c>
      <c r="F28" s="35" t="s">
        <v>157</v>
      </c>
      <c r="G28" s="35" t="s">
        <v>136</v>
      </c>
      <c r="H28" s="36" t="s">
        <v>202</v>
      </c>
      <c r="I28" s="10">
        <v>24</v>
      </c>
      <c r="J28" s="36" t="s">
        <v>203</v>
      </c>
    </row>
    <row r="29" spans="1:10" x14ac:dyDescent="0.2">
      <c r="A29" s="37">
        <v>10</v>
      </c>
      <c r="B29" s="38" t="s">
        <v>160</v>
      </c>
      <c r="C29" s="39" t="s">
        <v>61</v>
      </c>
      <c r="D29" s="40">
        <v>10</v>
      </c>
      <c r="E29" s="40">
        <v>37</v>
      </c>
      <c r="F29" s="39" t="s">
        <v>157</v>
      </c>
      <c r="G29" s="39" t="s">
        <v>136</v>
      </c>
      <c r="H29" s="41" t="s">
        <v>204</v>
      </c>
      <c r="I29" s="40">
        <v>28</v>
      </c>
      <c r="J29" s="41" t="s">
        <v>203</v>
      </c>
    </row>
    <row r="30" spans="1:10" x14ac:dyDescent="0.2">
      <c r="A30" s="42">
        <v>11</v>
      </c>
      <c r="B30" s="43" t="s">
        <v>205</v>
      </c>
      <c r="C30" s="35" t="s">
        <v>206</v>
      </c>
      <c r="D30" s="10">
        <v>5</v>
      </c>
      <c r="E30" s="10">
        <v>12</v>
      </c>
      <c r="F30" s="35" t="s">
        <v>157</v>
      </c>
      <c r="G30" s="35" t="s">
        <v>136</v>
      </c>
      <c r="H30" s="36" t="s">
        <v>207</v>
      </c>
      <c r="I30" s="10">
        <v>6</v>
      </c>
      <c r="J30" s="36" t="s">
        <v>208</v>
      </c>
    </row>
    <row r="32" spans="1:10" x14ac:dyDescent="0.2">
      <c r="A32" s="1" t="s">
        <v>209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28" x14ac:dyDescent="0.2">
      <c r="A33" s="34" t="s">
        <v>126</v>
      </c>
      <c r="B33" s="34" t="s">
        <v>127</v>
      </c>
      <c r="C33" s="34" t="s">
        <v>28</v>
      </c>
      <c r="D33" s="34" t="s">
        <v>128</v>
      </c>
      <c r="E33" s="34" t="s">
        <v>129</v>
      </c>
      <c r="F33" s="34" t="s">
        <v>130</v>
      </c>
      <c r="G33" s="34" t="s">
        <v>131</v>
      </c>
      <c r="H33" s="34" t="s">
        <v>132</v>
      </c>
      <c r="I33" s="34" t="s">
        <v>133</v>
      </c>
      <c r="J33" s="34" t="s">
        <v>134</v>
      </c>
    </row>
    <row r="34" spans="1:10" ht="26" x14ac:dyDescent="0.2">
      <c r="A34" s="16">
        <v>1</v>
      </c>
      <c r="B34" s="5" t="s">
        <v>43</v>
      </c>
      <c r="C34" s="35" t="s">
        <v>44</v>
      </c>
      <c r="D34" s="10">
        <v>1</v>
      </c>
      <c r="E34" s="10">
        <v>1</v>
      </c>
      <c r="F34" s="35" t="s">
        <v>210</v>
      </c>
      <c r="G34" s="35" t="s">
        <v>136</v>
      </c>
      <c r="H34" s="36" t="s">
        <v>211</v>
      </c>
      <c r="I34" s="10">
        <v>3</v>
      </c>
      <c r="J34" s="36" t="s">
        <v>212</v>
      </c>
    </row>
    <row r="35" spans="1:10" x14ac:dyDescent="0.2">
      <c r="A35" s="37">
        <v>2</v>
      </c>
      <c r="B35" s="38" t="s">
        <v>213</v>
      </c>
      <c r="C35" s="39" t="s">
        <v>84</v>
      </c>
      <c r="D35" s="40">
        <v>5</v>
      </c>
      <c r="E35" s="40">
        <v>10</v>
      </c>
      <c r="F35" s="39" t="s">
        <v>214</v>
      </c>
      <c r="G35" s="39" t="s">
        <v>136</v>
      </c>
      <c r="H35" s="41" t="s">
        <v>215</v>
      </c>
      <c r="I35" s="40">
        <v>5</v>
      </c>
      <c r="J35" s="41" t="s">
        <v>216</v>
      </c>
    </row>
    <row r="36" spans="1:10" ht="26" x14ac:dyDescent="0.2">
      <c r="A36" s="42">
        <v>3</v>
      </c>
      <c r="B36" s="43" t="s">
        <v>217</v>
      </c>
      <c r="C36" s="35" t="s">
        <v>69</v>
      </c>
      <c r="D36" s="10">
        <v>2</v>
      </c>
      <c r="E36" s="10">
        <v>8</v>
      </c>
      <c r="F36" s="35" t="s">
        <v>165</v>
      </c>
      <c r="G36" s="35" t="s">
        <v>136</v>
      </c>
      <c r="H36" s="36" t="s">
        <v>218</v>
      </c>
      <c r="I36" s="10">
        <v>4</v>
      </c>
      <c r="J36" s="36" t="s">
        <v>219</v>
      </c>
    </row>
    <row r="37" spans="1:10" x14ac:dyDescent="0.2">
      <c r="A37" s="37">
        <v>4</v>
      </c>
      <c r="B37" s="38" t="s">
        <v>220</v>
      </c>
      <c r="C37" s="39" t="s">
        <v>164</v>
      </c>
      <c r="D37" s="40">
        <v>6</v>
      </c>
      <c r="E37" s="40">
        <v>10</v>
      </c>
      <c r="F37" s="39" t="s">
        <v>214</v>
      </c>
      <c r="G37" s="39" t="s">
        <v>136</v>
      </c>
      <c r="H37" s="41" t="s">
        <v>221</v>
      </c>
      <c r="I37" s="40">
        <v>4</v>
      </c>
      <c r="J37" s="41" t="s">
        <v>222</v>
      </c>
    </row>
    <row r="38" spans="1:10" x14ac:dyDescent="0.2">
      <c r="A38" s="42">
        <v>5</v>
      </c>
      <c r="B38" s="43" t="s">
        <v>223</v>
      </c>
      <c r="C38" s="35" t="s">
        <v>69</v>
      </c>
      <c r="D38" s="10">
        <v>4</v>
      </c>
      <c r="E38" s="10">
        <v>8</v>
      </c>
      <c r="F38" s="35" t="s">
        <v>165</v>
      </c>
      <c r="G38" s="35" t="s">
        <v>136</v>
      </c>
      <c r="H38" s="36" t="s">
        <v>224</v>
      </c>
      <c r="I38" s="10">
        <v>4</v>
      </c>
      <c r="J38" s="36" t="s">
        <v>225</v>
      </c>
    </row>
    <row r="39" spans="1:10" x14ac:dyDescent="0.2">
      <c r="A39" s="37">
        <v>6</v>
      </c>
      <c r="B39" s="38" t="s">
        <v>226</v>
      </c>
      <c r="C39" s="39" t="s">
        <v>95</v>
      </c>
      <c r="D39" s="40">
        <v>1</v>
      </c>
      <c r="E39" s="40">
        <v>3</v>
      </c>
      <c r="F39" s="39" t="s">
        <v>227</v>
      </c>
      <c r="G39" s="39" t="s">
        <v>136</v>
      </c>
      <c r="H39" s="41" t="s">
        <v>228</v>
      </c>
      <c r="I39" s="40">
        <v>2</v>
      </c>
      <c r="J39" s="41" t="s">
        <v>229</v>
      </c>
    </row>
    <row r="40" spans="1:10" x14ac:dyDescent="0.2">
      <c r="A40" s="42">
        <v>7</v>
      </c>
      <c r="B40" s="43" t="s">
        <v>230</v>
      </c>
      <c r="C40" s="35" t="s">
        <v>73</v>
      </c>
      <c r="D40" s="10">
        <v>1</v>
      </c>
      <c r="E40" s="10">
        <v>1</v>
      </c>
      <c r="F40" s="35" t="s">
        <v>214</v>
      </c>
      <c r="G40" s="35" t="s">
        <v>136</v>
      </c>
      <c r="H40" s="36" t="s">
        <v>231</v>
      </c>
      <c r="I40" s="10">
        <v>1</v>
      </c>
      <c r="J40" s="36" t="s">
        <v>232</v>
      </c>
    </row>
    <row r="41" spans="1:10" x14ac:dyDescent="0.2">
      <c r="A41" s="37">
        <v>8</v>
      </c>
      <c r="B41" s="38" t="s">
        <v>233</v>
      </c>
      <c r="C41" s="39" t="s">
        <v>65</v>
      </c>
      <c r="D41" s="40">
        <v>7</v>
      </c>
      <c r="E41" s="40">
        <v>5</v>
      </c>
      <c r="F41" s="39" t="s">
        <v>165</v>
      </c>
      <c r="G41" s="39" t="s">
        <v>136</v>
      </c>
      <c r="H41" s="41" t="s">
        <v>234</v>
      </c>
      <c r="I41" s="40">
        <v>2</v>
      </c>
      <c r="J41" s="41" t="s">
        <v>235</v>
      </c>
    </row>
    <row r="42" spans="1:10" x14ac:dyDescent="0.2">
      <c r="A42" s="42">
        <v>9</v>
      </c>
      <c r="B42" s="43" t="s">
        <v>236</v>
      </c>
      <c r="C42" s="35" t="s">
        <v>149</v>
      </c>
      <c r="D42" s="10">
        <v>1</v>
      </c>
      <c r="E42" s="10">
        <v>1</v>
      </c>
      <c r="F42" s="35" t="s">
        <v>214</v>
      </c>
      <c r="G42" s="35" t="s">
        <v>136</v>
      </c>
      <c r="H42" s="36" t="s">
        <v>237</v>
      </c>
      <c r="I42" s="10">
        <v>1</v>
      </c>
      <c r="J42" s="36" t="s">
        <v>238</v>
      </c>
    </row>
    <row r="43" spans="1:10" x14ac:dyDescent="0.2">
      <c r="A43" s="37">
        <v>10</v>
      </c>
      <c r="B43" s="38" t="s">
        <v>239</v>
      </c>
      <c r="C43" s="39" t="s">
        <v>73</v>
      </c>
      <c r="D43" s="40">
        <v>1</v>
      </c>
      <c r="E43" s="40">
        <v>1</v>
      </c>
      <c r="F43" s="39" t="s">
        <v>214</v>
      </c>
      <c r="G43" s="39" t="s">
        <v>136</v>
      </c>
      <c r="H43" s="41" t="s">
        <v>240</v>
      </c>
      <c r="I43" s="40">
        <v>1</v>
      </c>
      <c r="J43" s="41" t="s">
        <v>241</v>
      </c>
    </row>
    <row r="44" spans="1:10" x14ac:dyDescent="0.2">
      <c r="A44" s="42">
        <v>11</v>
      </c>
      <c r="B44" s="43" t="s">
        <v>242</v>
      </c>
      <c r="C44" s="35" t="s">
        <v>172</v>
      </c>
      <c r="D44" s="10">
        <v>1</v>
      </c>
      <c r="E44" s="10">
        <v>1</v>
      </c>
      <c r="F44" s="35" t="s">
        <v>214</v>
      </c>
      <c r="G44" s="35" t="s">
        <v>136</v>
      </c>
      <c r="H44" s="36" t="s">
        <v>243</v>
      </c>
      <c r="I44" s="10">
        <v>1</v>
      </c>
      <c r="J44" s="36" t="s">
        <v>244</v>
      </c>
    </row>
  </sheetData>
  <mergeCells count="3">
    <mergeCell ref="A4:J4"/>
    <mergeCell ref="A18:J18"/>
    <mergeCell ref="A32:J3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8" customWidth="1"/>
    <col min="3" max="3" width="11" customWidth="1"/>
    <col min="4" max="5" width="6" customWidth="1"/>
    <col min="6" max="7" width="16" customWidth="1"/>
    <col min="8" max="8" width="34" customWidth="1"/>
    <col min="9" max="9" width="9" customWidth="1"/>
    <col min="10" max="10" width="52" customWidth="1"/>
  </cols>
  <sheetData>
    <row r="1" spans="1:10" ht="18" x14ac:dyDescent="0.2">
      <c r="A1" s="33" t="s">
        <v>245</v>
      </c>
    </row>
    <row r="2" spans="1:10" x14ac:dyDescent="0.2">
      <c r="A2" s="4" t="s">
        <v>124</v>
      </c>
    </row>
    <row r="4" spans="1:10" x14ac:dyDescent="0.2">
      <c r="A4" s="1" t="s">
        <v>246</v>
      </c>
      <c r="B4" s="1"/>
      <c r="C4" s="1"/>
      <c r="D4" s="1"/>
      <c r="E4" s="1"/>
      <c r="F4" s="1"/>
      <c r="G4" s="1"/>
      <c r="H4" s="1"/>
      <c r="I4" s="1"/>
      <c r="J4" s="1"/>
    </row>
    <row r="5" spans="1:10" ht="28" x14ac:dyDescent="0.2">
      <c r="A5" s="44" t="s">
        <v>126</v>
      </c>
      <c r="B5" s="44" t="s">
        <v>127</v>
      </c>
      <c r="C5" s="44" t="s">
        <v>28</v>
      </c>
      <c r="D5" s="44" t="s">
        <v>128</v>
      </c>
      <c r="E5" s="44" t="s">
        <v>129</v>
      </c>
      <c r="F5" s="44" t="s">
        <v>130</v>
      </c>
      <c r="G5" s="44" t="s">
        <v>131</v>
      </c>
      <c r="H5" s="44" t="s">
        <v>132</v>
      </c>
      <c r="I5" s="44" t="s">
        <v>133</v>
      </c>
      <c r="J5" s="44" t="s">
        <v>134</v>
      </c>
    </row>
    <row r="6" spans="1:10" ht="26" x14ac:dyDescent="0.2">
      <c r="A6" s="16">
        <v>1</v>
      </c>
      <c r="B6" s="5" t="s">
        <v>47</v>
      </c>
      <c r="C6" s="35" t="s">
        <v>40</v>
      </c>
      <c r="D6" s="10">
        <v>32</v>
      </c>
      <c r="E6" s="10">
        <v>265</v>
      </c>
      <c r="F6" s="35" t="s">
        <v>135</v>
      </c>
      <c r="G6" s="35" t="s">
        <v>136</v>
      </c>
      <c r="H6" s="36" t="s">
        <v>247</v>
      </c>
      <c r="I6" s="10">
        <v>60</v>
      </c>
      <c r="J6" s="36" t="s">
        <v>248</v>
      </c>
    </row>
    <row r="7" spans="1:10" ht="26" x14ac:dyDescent="0.2">
      <c r="A7" s="37">
        <v>2</v>
      </c>
      <c r="B7" s="38" t="s">
        <v>50</v>
      </c>
      <c r="C7" s="39" t="s">
        <v>36</v>
      </c>
      <c r="D7" s="40">
        <v>17</v>
      </c>
      <c r="E7" s="40">
        <v>83</v>
      </c>
      <c r="F7" s="39" t="s">
        <v>135</v>
      </c>
      <c r="G7" s="39" t="s">
        <v>136</v>
      </c>
      <c r="H7" s="41" t="s">
        <v>249</v>
      </c>
      <c r="I7" s="40">
        <v>35</v>
      </c>
      <c r="J7" s="41" t="s">
        <v>250</v>
      </c>
    </row>
    <row r="8" spans="1:10" ht="26" x14ac:dyDescent="0.2">
      <c r="A8" s="42">
        <v>3</v>
      </c>
      <c r="B8" s="43" t="s">
        <v>251</v>
      </c>
      <c r="C8" s="35" t="s">
        <v>164</v>
      </c>
      <c r="D8" s="10">
        <v>15</v>
      </c>
      <c r="E8" s="10">
        <v>50</v>
      </c>
      <c r="F8" s="35" t="s">
        <v>135</v>
      </c>
      <c r="G8" s="35" t="s">
        <v>136</v>
      </c>
      <c r="H8" s="36" t="s">
        <v>252</v>
      </c>
      <c r="I8" s="10">
        <v>30</v>
      </c>
      <c r="J8" s="36" t="s">
        <v>253</v>
      </c>
    </row>
    <row r="9" spans="1:10" x14ac:dyDescent="0.2">
      <c r="A9" s="37">
        <v>4</v>
      </c>
      <c r="B9" s="38" t="s">
        <v>254</v>
      </c>
      <c r="C9" s="39" t="s">
        <v>36</v>
      </c>
      <c r="D9" s="40">
        <v>15</v>
      </c>
      <c r="E9" s="40">
        <v>49</v>
      </c>
      <c r="F9" s="39" t="s">
        <v>135</v>
      </c>
      <c r="G9" s="39" t="s">
        <v>136</v>
      </c>
      <c r="H9" s="41" t="s">
        <v>255</v>
      </c>
      <c r="I9" s="40">
        <v>28</v>
      </c>
      <c r="J9" s="41" t="s">
        <v>256</v>
      </c>
    </row>
    <row r="10" spans="1:10" x14ac:dyDescent="0.2">
      <c r="A10" s="42">
        <v>5</v>
      </c>
      <c r="B10" s="43" t="s">
        <v>53</v>
      </c>
      <c r="C10" s="35" t="s">
        <v>40</v>
      </c>
      <c r="D10" s="10">
        <v>16</v>
      </c>
      <c r="E10" s="10">
        <v>55</v>
      </c>
      <c r="F10" s="35" t="s">
        <v>135</v>
      </c>
      <c r="G10" s="35" t="s">
        <v>136</v>
      </c>
      <c r="H10" s="36" t="s">
        <v>257</v>
      </c>
      <c r="I10" s="10">
        <v>26</v>
      </c>
      <c r="J10" s="36" t="s">
        <v>258</v>
      </c>
    </row>
    <row r="11" spans="1:10" x14ac:dyDescent="0.2">
      <c r="A11" s="37">
        <v>6</v>
      </c>
      <c r="B11" s="38" t="s">
        <v>259</v>
      </c>
      <c r="C11" s="39" t="s">
        <v>149</v>
      </c>
      <c r="D11" s="40">
        <v>14</v>
      </c>
      <c r="E11" s="40">
        <v>48</v>
      </c>
      <c r="F11" s="39" t="s">
        <v>135</v>
      </c>
      <c r="G11" s="39" t="s">
        <v>136</v>
      </c>
      <c r="H11" s="41" t="s">
        <v>260</v>
      </c>
      <c r="I11" s="40">
        <v>25</v>
      </c>
      <c r="J11" s="41" t="s">
        <v>261</v>
      </c>
    </row>
    <row r="12" spans="1:10" x14ac:dyDescent="0.2">
      <c r="A12" s="42">
        <v>7</v>
      </c>
      <c r="B12" s="43" t="s">
        <v>262</v>
      </c>
      <c r="C12" s="35" t="s">
        <v>40</v>
      </c>
      <c r="D12" s="10">
        <v>14</v>
      </c>
      <c r="E12" s="10">
        <v>44</v>
      </c>
      <c r="F12" s="35" t="s">
        <v>135</v>
      </c>
      <c r="G12" s="35" t="s">
        <v>136</v>
      </c>
      <c r="H12" s="36" t="s">
        <v>263</v>
      </c>
      <c r="I12" s="10">
        <v>24</v>
      </c>
      <c r="J12" s="36" t="s">
        <v>264</v>
      </c>
    </row>
    <row r="13" spans="1:10" x14ac:dyDescent="0.2">
      <c r="A13" s="37">
        <v>8</v>
      </c>
      <c r="B13" s="38" t="s">
        <v>265</v>
      </c>
      <c r="C13" s="39" t="s">
        <v>84</v>
      </c>
      <c r="D13" s="40">
        <v>14</v>
      </c>
      <c r="E13" s="40">
        <v>47</v>
      </c>
      <c r="F13" s="39" t="s">
        <v>135</v>
      </c>
      <c r="G13" s="39" t="s">
        <v>136</v>
      </c>
      <c r="H13" s="41" t="s">
        <v>266</v>
      </c>
      <c r="I13" s="40">
        <v>22</v>
      </c>
      <c r="J13" s="41" t="s">
        <v>267</v>
      </c>
    </row>
    <row r="14" spans="1:10" x14ac:dyDescent="0.2">
      <c r="A14" s="42">
        <v>9</v>
      </c>
      <c r="B14" s="43" t="s">
        <v>268</v>
      </c>
      <c r="C14" s="35" t="s">
        <v>40</v>
      </c>
      <c r="D14" s="10">
        <v>11</v>
      </c>
      <c r="E14" s="10">
        <v>33</v>
      </c>
      <c r="F14" s="35" t="s">
        <v>157</v>
      </c>
      <c r="G14" s="35" t="s">
        <v>136</v>
      </c>
      <c r="H14" s="36" t="s">
        <v>269</v>
      </c>
      <c r="I14" s="10">
        <v>20</v>
      </c>
      <c r="J14" s="36" t="s">
        <v>270</v>
      </c>
    </row>
    <row r="15" spans="1:10" x14ac:dyDescent="0.2">
      <c r="A15" s="37">
        <v>10</v>
      </c>
      <c r="B15" s="38" t="s">
        <v>271</v>
      </c>
      <c r="C15" s="39" t="s">
        <v>185</v>
      </c>
      <c r="D15" s="40">
        <v>13</v>
      </c>
      <c r="E15" s="40">
        <v>46</v>
      </c>
      <c r="F15" s="39" t="s">
        <v>135</v>
      </c>
      <c r="G15" s="39" t="s">
        <v>136</v>
      </c>
      <c r="H15" s="41" t="s">
        <v>272</v>
      </c>
      <c r="I15" s="40">
        <v>20</v>
      </c>
      <c r="J15" s="41" t="s">
        <v>273</v>
      </c>
    </row>
    <row r="16" spans="1:10" x14ac:dyDescent="0.2">
      <c r="A16" s="42">
        <v>11</v>
      </c>
      <c r="B16" s="43" t="s">
        <v>274</v>
      </c>
      <c r="C16" s="35" t="s">
        <v>36</v>
      </c>
      <c r="D16" s="10">
        <v>13</v>
      </c>
      <c r="E16" s="10">
        <v>44</v>
      </c>
      <c r="F16" s="35" t="s">
        <v>135</v>
      </c>
      <c r="G16" s="35" t="s">
        <v>136</v>
      </c>
      <c r="H16" s="36" t="s">
        <v>275</v>
      </c>
      <c r="I16" s="10">
        <v>20</v>
      </c>
      <c r="J16" s="36" t="s">
        <v>276</v>
      </c>
    </row>
    <row r="18" spans="1:10" x14ac:dyDescent="0.2">
      <c r="A18" s="1" t="s">
        <v>277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ht="28" x14ac:dyDescent="0.2">
      <c r="A19" s="44" t="s">
        <v>126</v>
      </c>
      <c r="B19" s="44" t="s">
        <v>127</v>
      </c>
      <c r="C19" s="44" t="s">
        <v>28</v>
      </c>
      <c r="D19" s="44" t="s">
        <v>128</v>
      </c>
      <c r="E19" s="44" t="s">
        <v>129</v>
      </c>
      <c r="F19" s="44" t="s">
        <v>130</v>
      </c>
      <c r="G19" s="44" t="s">
        <v>131</v>
      </c>
      <c r="H19" s="44" t="s">
        <v>132</v>
      </c>
      <c r="I19" s="44" t="s">
        <v>133</v>
      </c>
      <c r="J19" s="44" t="s">
        <v>134</v>
      </c>
    </row>
    <row r="20" spans="1:10" x14ac:dyDescent="0.2">
      <c r="A20" s="16">
        <v>1</v>
      </c>
      <c r="B20" s="5" t="s">
        <v>50</v>
      </c>
      <c r="C20" s="35" t="s">
        <v>36</v>
      </c>
      <c r="D20" s="10">
        <v>17</v>
      </c>
      <c r="E20" s="10">
        <v>83</v>
      </c>
      <c r="F20" s="35" t="s">
        <v>135</v>
      </c>
      <c r="G20" s="35" t="s">
        <v>136</v>
      </c>
      <c r="H20" s="36" t="s">
        <v>278</v>
      </c>
      <c r="I20" s="10">
        <v>35</v>
      </c>
      <c r="J20" s="36" t="s">
        <v>279</v>
      </c>
    </row>
    <row r="21" spans="1:10" x14ac:dyDescent="0.2">
      <c r="A21" s="37">
        <v>2</v>
      </c>
      <c r="B21" s="38" t="s">
        <v>280</v>
      </c>
      <c r="C21" s="39" t="s">
        <v>84</v>
      </c>
      <c r="D21" s="40">
        <v>12</v>
      </c>
      <c r="E21" s="40">
        <v>40</v>
      </c>
      <c r="F21" s="39" t="s">
        <v>135</v>
      </c>
      <c r="G21" s="39" t="s">
        <v>136</v>
      </c>
      <c r="H21" s="41" t="s">
        <v>281</v>
      </c>
      <c r="I21" s="40">
        <v>18</v>
      </c>
      <c r="J21" s="41" t="s">
        <v>282</v>
      </c>
    </row>
    <row r="22" spans="1:10" x14ac:dyDescent="0.2">
      <c r="A22" s="42">
        <v>3</v>
      </c>
      <c r="B22" s="43" t="s">
        <v>283</v>
      </c>
      <c r="C22" s="35" t="s">
        <v>153</v>
      </c>
      <c r="D22" s="10">
        <v>10</v>
      </c>
      <c r="E22" s="10">
        <v>30</v>
      </c>
      <c r="F22" s="35" t="s">
        <v>135</v>
      </c>
      <c r="G22" s="35" t="s">
        <v>136</v>
      </c>
      <c r="H22" s="36" t="s">
        <v>284</v>
      </c>
      <c r="I22" s="10">
        <v>15</v>
      </c>
      <c r="J22" s="36" t="s">
        <v>285</v>
      </c>
    </row>
    <row r="23" spans="1:10" x14ac:dyDescent="0.2">
      <c r="A23" s="37">
        <v>4</v>
      </c>
      <c r="B23" s="38" t="s">
        <v>286</v>
      </c>
      <c r="C23" s="39" t="s">
        <v>164</v>
      </c>
      <c r="D23" s="40">
        <v>9</v>
      </c>
      <c r="E23" s="40">
        <v>27</v>
      </c>
      <c r="F23" s="39" t="s">
        <v>135</v>
      </c>
      <c r="G23" s="39" t="s">
        <v>136</v>
      </c>
      <c r="H23" s="41" t="s">
        <v>287</v>
      </c>
      <c r="I23" s="40">
        <v>15</v>
      </c>
      <c r="J23" s="41" t="s">
        <v>288</v>
      </c>
    </row>
    <row r="24" spans="1:10" x14ac:dyDescent="0.2">
      <c r="A24" s="42">
        <v>5</v>
      </c>
      <c r="B24" s="43" t="s">
        <v>289</v>
      </c>
      <c r="C24" s="35" t="s">
        <v>73</v>
      </c>
      <c r="D24" s="10">
        <v>8</v>
      </c>
      <c r="E24" s="10">
        <v>24</v>
      </c>
      <c r="F24" s="35" t="s">
        <v>157</v>
      </c>
      <c r="G24" s="35" t="s">
        <v>136</v>
      </c>
      <c r="H24" s="36" t="s">
        <v>290</v>
      </c>
      <c r="I24" s="10">
        <v>12</v>
      </c>
      <c r="J24" s="36" t="s">
        <v>291</v>
      </c>
    </row>
    <row r="25" spans="1:10" x14ac:dyDescent="0.2">
      <c r="A25" s="37">
        <v>6</v>
      </c>
      <c r="B25" s="38" t="s">
        <v>292</v>
      </c>
      <c r="C25" s="39" t="s">
        <v>84</v>
      </c>
      <c r="D25" s="40">
        <v>8</v>
      </c>
      <c r="E25" s="40">
        <v>24</v>
      </c>
      <c r="F25" s="39" t="s">
        <v>157</v>
      </c>
      <c r="G25" s="39" t="s">
        <v>136</v>
      </c>
      <c r="H25" s="41" t="s">
        <v>293</v>
      </c>
      <c r="I25" s="40">
        <v>12</v>
      </c>
      <c r="J25" s="41" t="s">
        <v>294</v>
      </c>
    </row>
    <row r="26" spans="1:10" x14ac:dyDescent="0.2">
      <c r="A26" s="42">
        <v>7</v>
      </c>
      <c r="B26" s="43" t="s">
        <v>60</v>
      </c>
      <c r="C26" s="35" t="s">
        <v>61</v>
      </c>
      <c r="D26" s="10">
        <v>8</v>
      </c>
      <c r="E26" s="10">
        <v>24</v>
      </c>
      <c r="F26" s="35" t="s">
        <v>157</v>
      </c>
      <c r="G26" s="35" t="s">
        <v>136</v>
      </c>
      <c r="H26" s="36" t="s">
        <v>295</v>
      </c>
      <c r="I26" s="10">
        <v>10</v>
      </c>
      <c r="J26" s="36" t="s">
        <v>296</v>
      </c>
    </row>
    <row r="27" spans="1:10" x14ac:dyDescent="0.2">
      <c r="A27" s="37">
        <v>8</v>
      </c>
      <c r="B27" s="38" t="s">
        <v>297</v>
      </c>
      <c r="C27" s="39" t="s">
        <v>65</v>
      </c>
      <c r="D27" s="40">
        <v>8</v>
      </c>
      <c r="E27" s="40">
        <v>24</v>
      </c>
      <c r="F27" s="39" t="s">
        <v>157</v>
      </c>
      <c r="G27" s="39" t="s">
        <v>298</v>
      </c>
      <c r="H27" s="41" t="s">
        <v>299</v>
      </c>
      <c r="I27" s="40">
        <v>10</v>
      </c>
      <c r="J27" s="41" t="s">
        <v>300</v>
      </c>
    </row>
    <row r="28" spans="1:10" x14ac:dyDescent="0.2">
      <c r="A28" s="42">
        <v>9</v>
      </c>
      <c r="B28" s="43" t="s">
        <v>301</v>
      </c>
      <c r="C28" s="35" t="s">
        <v>77</v>
      </c>
      <c r="D28" s="10">
        <v>8</v>
      </c>
      <c r="E28" s="10">
        <v>27</v>
      </c>
      <c r="F28" s="35" t="s">
        <v>157</v>
      </c>
      <c r="G28" s="35" t="s">
        <v>136</v>
      </c>
      <c r="H28" s="36" t="s">
        <v>302</v>
      </c>
      <c r="I28" s="10">
        <v>10</v>
      </c>
      <c r="J28" s="36" t="s">
        <v>303</v>
      </c>
    </row>
    <row r="29" spans="1:10" x14ac:dyDescent="0.2">
      <c r="A29" s="37">
        <v>10</v>
      </c>
      <c r="B29" s="38" t="s">
        <v>304</v>
      </c>
      <c r="C29" s="39" t="s">
        <v>73</v>
      </c>
      <c r="D29" s="40">
        <v>6</v>
      </c>
      <c r="E29" s="40">
        <v>15</v>
      </c>
      <c r="F29" s="39" t="s">
        <v>157</v>
      </c>
      <c r="G29" s="39" t="s">
        <v>136</v>
      </c>
      <c r="H29" s="41" t="s">
        <v>305</v>
      </c>
      <c r="I29" s="40">
        <v>9</v>
      </c>
      <c r="J29" s="41" t="s">
        <v>306</v>
      </c>
    </row>
    <row r="30" spans="1:10" x14ac:dyDescent="0.2">
      <c r="A30" s="42">
        <v>11</v>
      </c>
      <c r="B30" s="43" t="s">
        <v>307</v>
      </c>
      <c r="C30" s="35" t="s">
        <v>149</v>
      </c>
      <c r="D30" s="10">
        <v>8</v>
      </c>
      <c r="E30" s="10">
        <v>25</v>
      </c>
      <c r="F30" s="35" t="s">
        <v>157</v>
      </c>
      <c r="G30" s="35" t="s">
        <v>136</v>
      </c>
      <c r="H30" s="36" t="s">
        <v>308</v>
      </c>
      <c r="I30" s="10">
        <v>9</v>
      </c>
      <c r="J30" s="36" t="s">
        <v>309</v>
      </c>
    </row>
    <row r="32" spans="1:10" x14ac:dyDescent="0.2">
      <c r="A32" s="1" t="s">
        <v>310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28" x14ac:dyDescent="0.2">
      <c r="A33" s="44" t="s">
        <v>126</v>
      </c>
      <c r="B33" s="44" t="s">
        <v>127</v>
      </c>
      <c r="C33" s="44" t="s">
        <v>28</v>
      </c>
      <c r="D33" s="44" t="s">
        <v>128</v>
      </c>
      <c r="E33" s="44" t="s">
        <v>129</v>
      </c>
      <c r="F33" s="44" t="s">
        <v>130</v>
      </c>
      <c r="G33" s="44" t="s">
        <v>131</v>
      </c>
      <c r="H33" s="44" t="s">
        <v>132</v>
      </c>
      <c r="I33" s="44" t="s">
        <v>133</v>
      </c>
      <c r="J33" s="44" t="s">
        <v>134</v>
      </c>
    </row>
    <row r="34" spans="1:10" x14ac:dyDescent="0.2">
      <c r="A34" s="16">
        <v>1</v>
      </c>
      <c r="B34" s="5" t="s">
        <v>53</v>
      </c>
      <c r="C34" s="35" t="s">
        <v>40</v>
      </c>
      <c r="D34" s="10">
        <v>16</v>
      </c>
      <c r="E34" s="10">
        <v>55</v>
      </c>
      <c r="F34" s="35" t="s">
        <v>135</v>
      </c>
      <c r="G34" s="35" t="s">
        <v>136</v>
      </c>
      <c r="H34" s="36" t="s">
        <v>311</v>
      </c>
      <c r="I34" s="10">
        <v>26</v>
      </c>
      <c r="J34" s="36" t="s">
        <v>312</v>
      </c>
    </row>
    <row r="35" spans="1:10" x14ac:dyDescent="0.2">
      <c r="A35" s="37">
        <v>2</v>
      </c>
      <c r="B35" s="38" t="s">
        <v>262</v>
      </c>
      <c r="C35" s="39" t="s">
        <v>40</v>
      </c>
      <c r="D35" s="40">
        <v>14</v>
      </c>
      <c r="E35" s="40">
        <v>44</v>
      </c>
      <c r="F35" s="39" t="s">
        <v>135</v>
      </c>
      <c r="G35" s="39" t="s">
        <v>136</v>
      </c>
      <c r="H35" s="41" t="s">
        <v>313</v>
      </c>
      <c r="I35" s="40">
        <v>24</v>
      </c>
      <c r="J35" s="41" t="s">
        <v>312</v>
      </c>
    </row>
    <row r="36" spans="1:10" x14ac:dyDescent="0.2">
      <c r="A36" s="42">
        <v>3</v>
      </c>
      <c r="B36" s="43" t="s">
        <v>265</v>
      </c>
      <c r="C36" s="35" t="s">
        <v>84</v>
      </c>
      <c r="D36" s="10">
        <v>14</v>
      </c>
      <c r="E36" s="10">
        <v>47</v>
      </c>
      <c r="F36" s="35" t="s">
        <v>135</v>
      </c>
      <c r="G36" s="35" t="s">
        <v>136</v>
      </c>
      <c r="H36" s="36" t="s">
        <v>314</v>
      </c>
      <c r="I36" s="10">
        <v>22</v>
      </c>
      <c r="J36" s="36" t="s">
        <v>312</v>
      </c>
    </row>
    <row r="37" spans="1:10" x14ac:dyDescent="0.2">
      <c r="A37" s="37">
        <v>4</v>
      </c>
      <c r="B37" s="38" t="s">
        <v>259</v>
      </c>
      <c r="C37" s="39" t="s">
        <v>149</v>
      </c>
      <c r="D37" s="40">
        <v>14</v>
      </c>
      <c r="E37" s="40">
        <v>48</v>
      </c>
      <c r="F37" s="39" t="s">
        <v>135</v>
      </c>
      <c r="G37" s="39" t="s">
        <v>136</v>
      </c>
      <c r="H37" s="41" t="s">
        <v>315</v>
      </c>
      <c r="I37" s="40">
        <v>25</v>
      </c>
      <c r="J37" s="41" t="s">
        <v>312</v>
      </c>
    </row>
    <row r="38" spans="1:10" x14ac:dyDescent="0.2">
      <c r="A38" s="42">
        <v>5</v>
      </c>
      <c r="B38" s="43" t="s">
        <v>271</v>
      </c>
      <c r="C38" s="35" t="s">
        <v>185</v>
      </c>
      <c r="D38" s="10">
        <v>13</v>
      </c>
      <c r="E38" s="10">
        <v>46</v>
      </c>
      <c r="F38" s="35" t="s">
        <v>135</v>
      </c>
      <c r="G38" s="35" t="s">
        <v>136</v>
      </c>
      <c r="H38" s="36" t="s">
        <v>316</v>
      </c>
      <c r="I38" s="10">
        <v>20</v>
      </c>
      <c r="J38" s="36" t="s">
        <v>312</v>
      </c>
    </row>
    <row r="39" spans="1:10" x14ac:dyDescent="0.2">
      <c r="A39" s="37">
        <v>6</v>
      </c>
      <c r="B39" s="38" t="s">
        <v>317</v>
      </c>
      <c r="C39" s="39" t="s">
        <v>164</v>
      </c>
      <c r="D39" s="40">
        <v>13</v>
      </c>
      <c r="E39" s="40">
        <v>46</v>
      </c>
      <c r="F39" s="39" t="s">
        <v>135</v>
      </c>
      <c r="G39" s="39" t="s">
        <v>136</v>
      </c>
      <c r="H39" s="41" t="s">
        <v>318</v>
      </c>
      <c r="I39" s="40">
        <v>16</v>
      </c>
      <c r="J39" s="41" t="s">
        <v>319</v>
      </c>
    </row>
    <row r="40" spans="1:10" x14ac:dyDescent="0.2">
      <c r="A40" s="42">
        <v>7</v>
      </c>
      <c r="B40" s="43" t="s">
        <v>274</v>
      </c>
      <c r="C40" s="35" t="s">
        <v>36</v>
      </c>
      <c r="D40" s="10">
        <v>13</v>
      </c>
      <c r="E40" s="10">
        <v>44</v>
      </c>
      <c r="F40" s="35" t="s">
        <v>135</v>
      </c>
      <c r="G40" s="35" t="s">
        <v>136</v>
      </c>
      <c r="H40" s="36" t="s">
        <v>320</v>
      </c>
      <c r="I40" s="10">
        <v>20</v>
      </c>
      <c r="J40" s="36" t="s">
        <v>312</v>
      </c>
    </row>
    <row r="41" spans="1:10" x14ac:dyDescent="0.2">
      <c r="A41" s="37">
        <v>8</v>
      </c>
      <c r="B41" s="38" t="s">
        <v>321</v>
      </c>
      <c r="C41" s="39" t="s">
        <v>40</v>
      </c>
      <c r="D41" s="40">
        <v>12</v>
      </c>
      <c r="E41" s="40">
        <v>38</v>
      </c>
      <c r="F41" s="39" t="s">
        <v>157</v>
      </c>
      <c r="G41" s="39" t="s">
        <v>136</v>
      </c>
      <c r="H41" s="41" t="s">
        <v>322</v>
      </c>
      <c r="I41" s="40">
        <v>14</v>
      </c>
      <c r="J41" s="41" t="s">
        <v>323</v>
      </c>
    </row>
    <row r="42" spans="1:10" x14ac:dyDescent="0.2">
      <c r="A42" s="42">
        <v>9</v>
      </c>
      <c r="B42" s="43" t="s">
        <v>324</v>
      </c>
      <c r="C42" s="35" t="s">
        <v>149</v>
      </c>
      <c r="D42" s="10">
        <v>12</v>
      </c>
      <c r="E42" s="10">
        <v>31</v>
      </c>
      <c r="F42" s="35" t="s">
        <v>135</v>
      </c>
      <c r="G42" s="35" t="s">
        <v>136</v>
      </c>
      <c r="H42" s="36" t="s">
        <v>325</v>
      </c>
      <c r="I42" s="10">
        <v>14</v>
      </c>
      <c r="J42" s="36" t="s">
        <v>326</v>
      </c>
    </row>
    <row r="43" spans="1:10" x14ac:dyDescent="0.2">
      <c r="A43" s="37">
        <v>10</v>
      </c>
      <c r="B43" s="38" t="s">
        <v>56</v>
      </c>
      <c r="C43" s="39" t="s">
        <v>57</v>
      </c>
      <c r="D43" s="40">
        <v>11</v>
      </c>
      <c r="E43" s="40">
        <v>40</v>
      </c>
      <c r="F43" s="39" t="s">
        <v>135</v>
      </c>
      <c r="G43" s="39" t="s">
        <v>136</v>
      </c>
      <c r="H43" s="41" t="s">
        <v>327</v>
      </c>
      <c r="I43" s="40">
        <v>16</v>
      </c>
      <c r="J43" s="41" t="s">
        <v>328</v>
      </c>
    </row>
    <row r="44" spans="1:10" x14ac:dyDescent="0.2">
      <c r="A44" s="42">
        <v>11</v>
      </c>
      <c r="B44" s="43" t="s">
        <v>329</v>
      </c>
      <c r="C44" s="35" t="s">
        <v>77</v>
      </c>
      <c r="D44" s="10">
        <v>10</v>
      </c>
      <c r="E44" s="10">
        <v>32</v>
      </c>
      <c r="F44" s="35" t="s">
        <v>157</v>
      </c>
      <c r="G44" s="35" t="s">
        <v>136</v>
      </c>
      <c r="H44" s="36" t="s">
        <v>330</v>
      </c>
      <c r="I44" s="10">
        <v>12</v>
      </c>
      <c r="J44" s="36" t="s">
        <v>331</v>
      </c>
    </row>
    <row r="46" spans="1:10" x14ac:dyDescent="0.2">
      <c r="A46" s="1" t="s">
        <v>332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ht="28" x14ac:dyDescent="0.2">
      <c r="A47" s="44" t="s">
        <v>126</v>
      </c>
      <c r="B47" s="44" t="s">
        <v>127</v>
      </c>
      <c r="C47" s="44" t="s">
        <v>28</v>
      </c>
      <c r="D47" s="44" t="s">
        <v>128</v>
      </c>
      <c r="E47" s="44" t="s">
        <v>129</v>
      </c>
      <c r="F47" s="44" t="s">
        <v>130</v>
      </c>
      <c r="G47" s="44" t="s">
        <v>131</v>
      </c>
      <c r="H47" s="44" t="s">
        <v>132</v>
      </c>
      <c r="I47" s="44" t="s">
        <v>133</v>
      </c>
      <c r="J47" s="44" t="s">
        <v>134</v>
      </c>
    </row>
    <row r="48" spans="1:10" x14ac:dyDescent="0.2">
      <c r="A48" s="16">
        <v>1</v>
      </c>
      <c r="B48" s="5" t="s">
        <v>56</v>
      </c>
      <c r="C48" s="35" t="s">
        <v>57</v>
      </c>
      <c r="D48" s="10">
        <v>11</v>
      </c>
      <c r="E48" s="10">
        <v>40</v>
      </c>
      <c r="F48" s="35" t="s">
        <v>135</v>
      </c>
      <c r="G48" s="35" t="s">
        <v>136</v>
      </c>
      <c r="H48" s="36" t="s">
        <v>333</v>
      </c>
      <c r="I48" s="10">
        <v>16</v>
      </c>
      <c r="J48" s="36" t="s">
        <v>334</v>
      </c>
    </row>
    <row r="49" spans="1:10" x14ac:dyDescent="0.2">
      <c r="A49" s="37">
        <v>2</v>
      </c>
      <c r="B49" s="38" t="s">
        <v>268</v>
      </c>
      <c r="C49" s="39" t="s">
        <v>40</v>
      </c>
      <c r="D49" s="40">
        <v>11</v>
      </c>
      <c r="E49" s="40">
        <v>33</v>
      </c>
      <c r="F49" s="39" t="s">
        <v>157</v>
      </c>
      <c r="G49" s="39" t="s">
        <v>136</v>
      </c>
      <c r="H49" s="41" t="s">
        <v>335</v>
      </c>
      <c r="I49" s="40">
        <v>18</v>
      </c>
      <c r="J49" s="41" t="s">
        <v>336</v>
      </c>
    </row>
    <row r="50" spans="1:10" x14ac:dyDescent="0.2">
      <c r="A50" s="42">
        <v>3</v>
      </c>
      <c r="B50" s="43" t="s">
        <v>337</v>
      </c>
      <c r="C50" s="35" t="s">
        <v>73</v>
      </c>
      <c r="D50" s="10">
        <v>10</v>
      </c>
      <c r="E50" s="10">
        <v>28</v>
      </c>
      <c r="F50" s="35" t="s">
        <v>157</v>
      </c>
      <c r="G50" s="35" t="s">
        <v>136</v>
      </c>
      <c r="H50" s="36" t="s">
        <v>338</v>
      </c>
      <c r="I50" s="10">
        <v>12</v>
      </c>
      <c r="J50" s="36" t="s">
        <v>339</v>
      </c>
    </row>
    <row r="51" spans="1:10" x14ac:dyDescent="0.2">
      <c r="A51" s="37">
        <v>4</v>
      </c>
      <c r="B51" s="38" t="s">
        <v>340</v>
      </c>
      <c r="C51" s="39" t="s">
        <v>36</v>
      </c>
      <c r="D51" s="40">
        <v>10</v>
      </c>
      <c r="E51" s="40">
        <v>26</v>
      </c>
      <c r="F51" s="39" t="s">
        <v>135</v>
      </c>
      <c r="G51" s="39" t="s">
        <v>136</v>
      </c>
      <c r="H51" s="41" t="s">
        <v>341</v>
      </c>
      <c r="I51" s="40">
        <v>12</v>
      </c>
      <c r="J51" s="41" t="s">
        <v>342</v>
      </c>
    </row>
    <row r="52" spans="1:10" x14ac:dyDescent="0.2">
      <c r="A52" s="42">
        <v>5</v>
      </c>
      <c r="B52" s="43" t="s">
        <v>343</v>
      </c>
      <c r="C52" s="35" t="s">
        <v>172</v>
      </c>
      <c r="D52" s="10">
        <v>8</v>
      </c>
      <c r="E52" s="10">
        <v>20</v>
      </c>
      <c r="F52" s="35" t="s">
        <v>135</v>
      </c>
      <c r="G52" s="35" t="s">
        <v>136</v>
      </c>
      <c r="H52" s="36" t="s">
        <v>344</v>
      </c>
      <c r="I52" s="10">
        <v>10</v>
      </c>
      <c r="J52" s="36" t="s">
        <v>345</v>
      </c>
    </row>
    <row r="53" spans="1:10" x14ac:dyDescent="0.2">
      <c r="A53" s="37">
        <v>6</v>
      </c>
      <c r="B53" s="38" t="s">
        <v>346</v>
      </c>
      <c r="C53" s="39" t="s">
        <v>153</v>
      </c>
      <c r="D53" s="40">
        <v>8</v>
      </c>
      <c r="E53" s="40">
        <v>27</v>
      </c>
      <c r="F53" s="39" t="s">
        <v>157</v>
      </c>
      <c r="G53" s="39" t="s">
        <v>136</v>
      </c>
      <c r="H53" s="41" t="s">
        <v>347</v>
      </c>
      <c r="I53" s="40">
        <v>10</v>
      </c>
      <c r="J53" s="41" t="s">
        <v>348</v>
      </c>
    </row>
    <row r="54" spans="1:10" x14ac:dyDescent="0.2">
      <c r="A54" s="42">
        <v>7</v>
      </c>
      <c r="B54" s="43" t="s">
        <v>349</v>
      </c>
      <c r="C54" s="35" t="s">
        <v>61</v>
      </c>
      <c r="D54" s="10">
        <v>8</v>
      </c>
      <c r="E54" s="10">
        <v>18</v>
      </c>
      <c r="F54" s="35" t="s">
        <v>135</v>
      </c>
      <c r="G54" s="35" t="s">
        <v>136</v>
      </c>
      <c r="H54" s="36" t="s">
        <v>204</v>
      </c>
      <c r="I54" s="10">
        <v>10</v>
      </c>
      <c r="J54" s="36" t="s">
        <v>350</v>
      </c>
    </row>
    <row r="55" spans="1:10" x14ac:dyDescent="0.2">
      <c r="A55" s="37">
        <v>8</v>
      </c>
      <c r="B55" s="38" t="s">
        <v>351</v>
      </c>
      <c r="C55" s="39" t="s">
        <v>77</v>
      </c>
      <c r="D55" s="40">
        <v>9</v>
      </c>
      <c r="E55" s="40">
        <v>26</v>
      </c>
      <c r="F55" s="39" t="s">
        <v>157</v>
      </c>
      <c r="G55" s="39" t="s">
        <v>136</v>
      </c>
      <c r="H55" s="41" t="s">
        <v>352</v>
      </c>
      <c r="I55" s="40">
        <v>10</v>
      </c>
      <c r="J55" s="41" t="s">
        <v>353</v>
      </c>
    </row>
    <row r="56" spans="1:10" x14ac:dyDescent="0.2">
      <c r="A56" s="42">
        <v>9</v>
      </c>
      <c r="B56" s="43" t="s">
        <v>354</v>
      </c>
      <c r="C56" s="35" t="s">
        <v>57</v>
      </c>
      <c r="D56" s="10">
        <v>9</v>
      </c>
      <c r="E56" s="10">
        <v>33</v>
      </c>
      <c r="F56" s="35" t="s">
        <v>135</v>
      </c>
      <c r="G56" s="35" t="s">
        <v>136</v>
      </c>
      <c r="H56" s="36" t="s">
        <v>355</v>
      </c>
      <c r="I56" s="10">
        <v>10</v>
      </c>
      <c r="J56" s="36" t="s">
        <v>356</v>
      </c>
    </row>
    <row r="57" spans="1:10" x14ac:dyDescent="0.2">
      <c r="A57" s="37">
        <v>10</v>
      </c>
      <c r="B57" s="38" t="s">
        <v>357</v>
      </c>
      <c r="C57" s="39" t="s">
        <v>36</v>
      </c>
      <c r="D57" s="40">
        <v>8</v>
      </c>
      <c r="E57" s="40">
        <v>20</v>
      </c>
      <c r="F57" s="39" t="s">
        <v>157</v>
      </c>
      <c r="G57" s="39" t="s">
        <v>136</v>
      </c>
      <c r="H57" s="41" t="s">
        <v>358</v>
      </c>
      <c r="I57" s="40">
        <v>10</v>
      </c>
      <c r="J57" s="41" t="s">
        <v>359</v>
      </c>
    </row>
    <row r="58" spans="1:10" x14ac:dyDescent="0.2">
      <c r="A58" s="42">
        <v>11</v>
      </c>
      <c r="B58" s="43" t="s">
        <v>360</v>
      </c>
      <c r="C58" s="35" t="s">
        <v>77</v>
      </c>
      <c r="D58" s="10">
        <v>5</v>
      </c>
      <c r="E58" s="10">
        <v>13</v>
      </c>
      <c r="F58" s="35" t="s">
        <v>135</v>
      </c>
      <c r="G58" s="35" t="s">
        <v>136</v>
      </c>
      <c r="H58" s="36" t="s">
        <v>361</v>
      </c>
      <c r="I58" s="10">
        <v>7</v>
      </c>
      <c r="J58" s="36" t="s">
        <v>362</v>
      </c>
    </row>
    <row r="60" spans="1:10" x14ac:dyDescent="0.2">
      <c r="A60" s="1" t="s">
        <v>363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ht="28" x14ac:dyDescent="0.2">
      <c r="A61" s="44" t="s">
        <v>126</v>
      </c>
      <c r="B61" s="44" t="s">
        <v>127</v>
      </c>
      <c r="C61" s="44" t="s">
        <v>28</v>
      </c>
      <c r="D61" s="44" t="s">
        <v>128</v>
      </c>
      <c r="E61" s="44" t="s">
        <v>129</v>
      </c>
      <c r="F61" s="44" t="s">
        <v>130</v>
      </c>
      <c r="G61" s="44" t="s">
        <v>131</v>
      </c>
      <c r="H61" s="44" t="s">
        <v>132</v>
      </c>
      <c r="I61" s="44" t="s">
        <v>133</v>
      </c>
      <c r="J61" s="44" t="s">
        <v>134</v>
      </c>
    </row>
    <row r="62" spans="1:10" x14ac:dyDescent="0.2">
      <c r="A62" s="16">
        <v>1</v>
      </c>
      <c r="B62" s="5" t="s">
        <v>60</v>
      </c>
      <c r="C62" s="35" t="s">
        <v>61</v>
      </c>
      <c r="D62" s="10">
        <v>8</v>
      </c>
      <c r="E62" s="10">
        <v>24</v>
      </c>
      <c r="F62" s="35" t="s">
        <v>157</v>
      </c>
      <c r="G62" s="35" t="s">
        <v>136</v>
      </c>
      <c r="H62" s="36" t="s">
        <v>295</v>
      </c>
      <c r="I62" s="10">
        <v>10</v>
      </c>
      <c r="J62" s="36" t="s">
        <v>364</v>
      </c>
    </row>
    <row r="63" spans="1:10" x14ac:dyDescent="0.2">
      <c r="A63" s="37">
        <v>2</v>
      </c>
      <c r="B63" s="38" t="s">
        <v>297</v>
      </c>
      <c r="C63" s="39" t="s">
        <v>65</v>
      </c>
      <c r="D63" s="40">
        <v>8</v>
      </c>
      <c r="E63" s="40">
        <v>24</v>
      </c>
      <c r="F63" s="39" t="s">
        <v>157</v>
      </c>
      <c r="G63" s="39" t="s">
        <v>298</v>
      </c>
      <c r="H63" s="41" t="s">
        <v>365</v>
      </c>
      <c r="I63" s="40">
        <v>10</v>
      </c>
      <c r="J63" s="41" t="s">
        <v>364</v>
      </c>
    </row>
    <row r="64" spans="1:10" x14ac:dyDescent="0.2">
      <c r="A64" s="42">
        <v>3</v>
      </c>
      <c r="B64" s="43" t="s">
        <v>307</v>
      </c>
      <c r="C64" s="35" t="s">
        <v>149</v>
      </c>
      <c r="D64" s="10">
        <v>8</v>
      </c>
      <c r="E64" s="10">
        <v>25</v>
      </c>
      <c r="F64" s="35" t="s">
        <v>157</v>
      </c>
      <c r="G64" s="35" t="s">
        <v>136</v>
      </c>
      <c r="H64" s="36" t="s">
        <v>366</v>
      </c>
      <c r="I64" s="10">
        <v>9</v>
      </c>
      <c r="J64" s="36" t="s">
        <v>364</v>
      </c>
    </row>
    <row r="65" spans="1:10" x14ac:dyDescent="0.2">
      <c r="A65" s="37">
        <v>4</v>
      </c>
      <c r="B65" s="38" t="s">
        <v>64</v>
      </c>
      <c r="C65" s="39" t="s">
        <v>65</v>
      </c>
      <c r="D65" s="40">
        <v>8</v>
      </c>
      <c r="E65" s="40">
        <v>21</v>
      </c>
      <c r="F65" s="39" t="s">
        <v>135</v>
      </c>
      <c r="G65" s="39" t="s">
        <v>136</v>
      </c>
      <c r="H65" s="41" t="s">
        <v>367</v>
      </c>
      <c r="I65" s="40">
        <v>9</v>
      </c>
      <c r="J65" s="41" t="s">
        <v>368</v>
      </c>
    </row>
    <row r="66" spans="1:10" x14ac:dyDescent="0.2">
      <c r="A66" s="42">
        <v>5</v>
      </c>
      <c r="B66" s="43" t="s">
        <v>369</v>
      </c>
      <c r="C66" s="35" t="s">
        <v>57</v>
      </c>
      <c r="D66" s="10">
        <v>8</v>
      </c>
      <c r="E66" s="10">
        <v>22</v>
      </c>
      <c r="F66" s="35" t="s">
        <v>157</v>
      </c>
      <c r="G66" s="35" t="s">
        <v>136</v>
      </c>
      <c r="H66" s="36" t="s">
        <v>370</v>
      </c>
      <c r="I66" s="10">
        <v>9</v>
      </c>
      <c r="J66" s="36" t="s">
        <v>371</v>
      </c>
    </row>
    <row r="67" spans="1:10" x14ac:dyDescent="0.2">
      <c r="A67" s="37">
        <v>6</v>
      </c>
      <c r="B67" s="38" t="s">
        <v>372</v>
      </c>
      <c r="C67" s="39" t="s">
        <v>185</v>
      </c>
      <c r="D67" s="40">
        <v>8</v>
      </c>
      <c r="E67" s="40">
        <v>19</v>
      </c>
      <c r="F67" s="39" t="s">
        <v>157</v>
      </c>
      <c r="G67" s="39" t="s">
        <v>136</v>
      </c>
      <c r="H67" s="41" t="s">
        <v>373</v>
      </c>
      <c r="I67" s="40">
        <v>8</v>
      </c>
      <c r="J67" s="41" t="s">
        <v>374</v>
      </c>
    </row>
    <row r="68" spans="1:10" x14ac:dyDescent="0.2">
      <c r="A68" s="42">
        <v>7</v>
      </c>
      <c r="B68" s="43" t="s">
        <v>375</v>
      </c>
      <c r="C68" s="35" t="s">
        <v>61</v>
      </c>
      <c r="D68" s="10">
        <v>6</v>
      </c>
      <c r="E68" s="10">
        <v>19</v>
      </c>
      <c r="F68" s="35" t="s">
        <v>157</v>
      </c>
      <c r="G68" s="35" t="s">
        <v>136</v>
      </c>
      <c r="H68" s="36" t="s">
        <v>376</v>
      </c>
      <c r="I68" s="10">
        <v>8</v>
      </c>
      <c r="J68" s="36" t="s">
        <v>377</v>
      </c>
    </row>
    <row r="69" spans="1:10" x14ac:dyDescent="0.2">
      <c r="A69" s="37">
        <v>8</v>
      </c>
      <c r="B69" s="38" t="s">
        <v>378</v>
      </c>
      <c r="C69" s="39" t="s">
        <v>73</v>
      </c>
      <c r="D69" s="40">
        <v>6</v>
      </c>
      <c r="E69" s="40">
        <v>17</v>
      </c>
      <c r="F69" s="39" t="s">
        <v>157</v>
      </c>
      <c r="G69" s="39" t="s">
        <v>136</v>
      </c>
      <c r="H69" s="41" t="s">
        <v>379</v>
      </c>
      <c r="I69" s="40">
        <v>8</v>
      </c>
      <c r="J69" s="41" t="s">
        <v>380</v>
      </c>
    </row>
    <row r="70" spans="1:10" x14ac:dyDescent="0.2">
      <c r="A70" s="42">
        <v>9</v>
      </c>
      <c r="B70" s="43" t="s">
        <v>381</v>
      </c>
      <c r="C70" s="35" t="s">
        <v>77</v>
      </c>
      <c r="D70" s="10">
        <v>6</v>
      </c>
      <c r="E70" s="10">
        <v>18</v>
      </c>
      <c r="F70" s="35" t="s">
        <v>157</v>
      </c>
      <c r="G70" s="35" t="s">
        <v>136</v>
      </c>
      <c r="H70" s="36" t="s">
        <v>382</v>
      </c>
      <c r="I70" s="10">
        <v>7</v>
      </c>
      <c r="J70" s="36" t="s">
        <v>383</v>
      </c>
    </row>
    <row r="71" spans="1:10" x14ac:dyDescent="0.2">
      <c r="A71" s="37">
        <v>10</v>
      </c>
      <c r="B71" s="38" t="s">
        <v>384</v>
      </c>
      <c r="C71" s="39" t="s">
        <v>88</v>
      </c>
      <c r="D71" s="40">
        <v>6</v>
      </c>
      <c r="E71" s="40">
        <v>17</v>
      </c>
      <c r="F71" s="39" t="s">
        <v>165</v>
      </c>
      <c r="G71" s="39" t="s">
        <v>136</v>
      </c>
      <c r="H71" s="41" t="s">
        <v>385</v>
      </c>
      <c r="I71" s="40">
        <v>7</v>
      </c>
      <c r="J71" s="41" t="s">
        <v>386</v>
      </c>
    </row>
    <row r="72" spans="1:10" x14ac:dyDescent="0.2">
      <c r="A72" s="42">
        <v>11</v>
      </c>
      <c r="B72" s="43" t="s">
        <v>387</v>
      </c>
      <c r="C72" s="35" t="s">
        <v>164</v>
      </c>
      <c r="D72" s="10">
        <v>8</v>
      </c>
      <c r="E72" s="10">
        <v>21</v>
      </c>
      <c r="F72" s="35" t="s">
        <v>157</v>
      </c>
      <c r="G72" s="35" t="s">
        <v>136</v>
      </c>
      <c r="H72" s="36" t="s">
        <v>388</v>
      </c>
      <c r="I72" s="10">
        <v>7</v>
      </c>
      <c r="J72" s="36" t="s">
        <v>389</v>
      </c>
    </row>
    <row r="74" spans="1:10" x14ac:dyDescent="0.2">
      <c r="A74" s="1" t="s">
        <v>390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ht="28" x14ac:dyDescent="0.2">
      <c r="A75" s="44" t="s">
        <v>126</v>
      </c>
      <c r="B75" s="44" t="s">
        <v>127</v>
      </c>
      <c r="C75" s="44" t="s">
        <v>28</v>
      </c>
      <c r="D75" s="44" t="s">
        <v>128</v>
      </c>
      <c r="E75" s="44" t="s">
        <v>129</v>
      </c>
      <c r="F75" s="44" t="s">
        <v>130</v>
      </c>
      <c r="G75" s="44" t="s">
        <v>131</v>
      </c>
      <c r="H75" s="44" t="s">
        <v>132</v>
      </c>
      <c r="I75" s="44" t="s">
        <v>133</v>
      </c>
      <c r="J75" s="44" t="s">
        <v>134</v>
      </c>
    </row>
    <row r="76" spans="1:10" x14ac:dyDescent="0.2">
      <c r="A76" s="16">
        <v>1</v>
      </c>
      <c r="B76" s="5" t="s">
        <v>64</v>
      </c>
      <c r="C76" s="35" t="s">
        <v>65</v>
      </c>
      <c r="D76" s="10">
        <v>8</v>
      </c>
      <c r="E76" s="10">
        <v>21</v>
      </c>
      <c r="F76" s="35" t="s">
        <v>135</v>
      </c>
      <c r="G76" s="35" t="s">
        <v>136</v>
      </c>
      <c r="H76" s="36" t="s">
        <v>391</v>
      </c>
      <c r="I76" s="10">
        <v>9</v>
      </c>
      <c r="J76" s="36" t="s">
        <v>392</v>
      </c>
    </row>
    <row r="77" spans="1:10" x14ac:dyDescent="0.2">
      <c r="A77" s="37">
        <v>2</v>
      </c>
      <c r="B77" s="38" t="s">
        <v>375</v>
      </c>
      <c r="C77" s="39" t="s">
        <v>61</v>
      </c>
      <c r="D77" s="40">
        <v>6</v>
      </c>
      <c r="E77" s="40">
        <v>19</v>
      </c>
      <c r="F77" s="39" t="s">
        <v>157</v>
      </c>
      <c r="G77" s="39" t="s">
        <v>136</v>
      </c>
      <c r="H77" s="41" t="s">
        <v>393</v>
      </c>
      <c r="I77" s="40">
        <v>8</v>
      </c>
      <c r="J77" s="41" t="s">
        <v>392</v>
      </c>
    </row>
    <row r="78" spans="1:10" x14ac:dyDescent="0.2">
      <c r="A78" s="42">
        <v>3</v>
      </c>
      <c r="B78" s="43" t="s">
        <v>378</v>
      </c>
      <c r="C78" s="35" t="s">
        <v>73</v>
      </c>
      <c r="D78" s="10">
        <v>6</v>
      </c>
      <c r="E78" s="10">
        <v>17</v>
      </c>
      <c r="F78" s="35" t="s">
        <v>157</v>
      </c>
      <c r="G78" s="35" t="s">
        <v>136</v>
      </c>
      <c r="H78" s="36" t="s">
        <v>394</v>
      </c>
      <c r="I78" s="10">
        <v>8</v>
      </c>
      <c r="J78" s="36" t="s">
        <v>392</v>
      </c>
    </row>
    <row r="79" spans="1:10" x14ac:dyDescent="0.2">
      <c r="A79" s="37">
        <v>4</v>
      </c>
      <c r="B79" s="38" t="s">
        <v>381</v>
      </c>
      <c r="C79" s="39" t="s">
        <v>77</v>
      </c>
      <c r="D79" s="40">
        <v>6</v>
      </c>
      <c r="E79" s="40">
        <v>18</v>
      </c>
      <c r="F79" s="39" t="s">
        <v>157</v>
      </c>
      <c r="G79" s="39" t="s">
        <v>136</v>
      </c>
      <c r="H79" s="41" t="s">
        <v>395</v>
      </c>
      <c r="I79" s="40">
        <v>7</v>
      </c>
      <c r="J79" s="41" t="s">
        <v>392</v>
      </c>
    </row>
    <row r="80" spans="1:10" x14ac:dyDescent="0.2">
      <c r="A80" s="42">
        <v>5</v>
      </c>
      <c r="B80" s="43" t="s">
        <v>396</v>
      </c>
      <c r="C80" s="35" t="s">
        <v>206</v>
      </c>
      <c r="D80" s="10">
        <v>6</v>
      </c>
      <c r="E80" s="10">
        <v>15</v>
      </c>
      <c r="F80" s="35" t="s">
        <v>157</v>
      </c>
      <c r="G80" s="35" t="s">
        <v>136</v>
      </c>
      <c r="H80" s="36" t="s">
        <v>397</v>
      </c>
      <c r="I80" s="10">
        <v>6</v>
      </c>
      <c r="J80" s="36" t="s">
        <v>398</v>
      </c>
    </row>
    <row r="81" spans="1:10" x14ac:dyDescent="0.2">
      <c r="A81" s="37">
        <v>6</v>
      </c>
      <c r="B81" s="38" t="s">
        <v>399</v>
      </c>
      <c r="C81" s="39" t="s">
        <v>153</v>
      </c>
      <c r="D81" s="40">
        <v>8</v>
      </c>
      <c r="E81" s="40">
        <v>23</v>
      </c>
      <c r="F81" s="39" t="s">
        <v>157</v>
      </c>
      <c r="G81" s="39" t="s">
        <v>136</v>
      </c>
      <c r="H81" s="41" t="s">
        <v>400</v>
      </c>
      <c r="I81" s="40">
        <v>8</v>
      </c>
      <c r="J81" s="41" t="s">
        <v>401</v>
      </c>
    </row>
    <row r="82" spans="1:10" x14ac:dyDescent="0.2">
      <c r="A82" s="42">
        <v>7</v>
      </c>
      <c r="B82" s="43" t="s">
        <v>360</v>
      </c>
      <c r="C82" s="35" t="s">
        <v>77</v>
      </c>
      <c r="D82" s="10">
        <v>5</v>
      </c>
      <c r="E82" s="10">
        <v>13</v>
      </c>
      <c r="F82" s="35" t="s">
        <v>135</v>
      </c>
      <c r="G82" s="35" t="s">
        <v>136</v>
      </c>
      <c r="H82" s="36" t="s">
        <v>402</v>
      </c>
      <c r="I82" s="10">
        <v>7</v>
      </c>
      <c r="J82" s="36" t="s">
        <v>403</v>
      </c>
    </row>
    <row r="83" spans="1:10" x14ac:dyDescent="0.2">
      <c r="A83" s="37">
        <v>8</v>
      </c>
      <c r="B83" s="38" t="s">
        <v>372</v>
      </c>
      <c r="C83" s="39" t="s">
        <v>185</v>
      </c>
      <c r="D83" s="40">
        <v>8</v>
      </c>
      <c r="E83" s="40">
        <v>19</v>
      </c>
      <c r="F83" s="39" t="s">
        <v>157</v>
      </c>
      <c r="G83" s="39" t="s">
        <v>136</v>
      </c>
      <c r="H83" s="41" t="s">
        <v>185</v>
      </c>
      <c r="I83" s="40">
        <v>8</v>
      </c>
      <c r="J83" s="41" t="s">
        <v>392</v>
      </c>
    </row>
    <row r="84" spans="1:10" x14ac:dyDescent="0.2">
      <c r="A84" s="42">
        <v>9</v>
      </c>
      <c r="B84" s="43" t="s">
        <v>343</v>
      </c>
      <c r="C84" s="35" t="s">
        <v>172</v>
      </c>
      <c r="D84" s="10">
        <v>8</v>
      </c>
      <c r="E84" s="10">
        <v>20</v>
      </c>
      <c r="F84" s="35" t="s">
        <v>135</v>
      </c>
      <c r="G84" s="35" t="s">
        <v>136</v>
      </c>
      <c r="H84" s="36" t="s">
        <v>404</v>
      </c>
      <c r="I84" s="10">
        <v>10</v>
      </c>
      <c r="J84" s="36" t="s">
        <v>403</v>
      </c>
    </row>
    <row r="85" spans="1:10" x14ac:dyDescent="0.2">
      <c r="A85" s="37">
        <v>10</v>
      </c>
      <c r="B85" s="38" t="s">
        <v>68</v>
      </c>
      <c r="C85" s="39" t="s">
        <v>69</v>
      </c>
      <c r="D85" s="40">
        <v>5</v>
      </c>
      <c r="E85" s="40">
        <v>11</v>
      </c>
      <c r="F85" s="39" t="s">
        <v>157</v>
      </c>
      <c r="G85" s="39" t="s">
        <v>136</v>
      </c>
      <c r="H85" s="41" t="s">
        <v>405</v>
      </c>
      <c r="I85" s="40">
        <v>5</v>
      </c>
      <c r="J85" s="41" t="s">
        <v>406</v>
      </c>
    </row>
    <row r="86" spans="1:10" x14ac:dyDescent="0.2">
      <c r="A86" s="42">
        <v>11</v>
      </c>
      <c r="B86" s="43" t="s">
        <v>407</v>
      </c>
      <c r="C86" s="35" t="s">
        <v>199</v>
      </c>
      <c r="D86" s="10">
        <v>4</v>
      </c>
      <c r="E86" s="10">
        <v>12</v>
      </c>
      <c r="F86" s="35" t="s">
        <v>157</v>
      </c>
      <c r="G86" s="35" t="s">
        <v>136</v>
      </c>
      <c r="H86" s="36" t="s">
        <v>408</v>
      </c>
      <c r="I86" s="10">
        <v>4</v>
      </c>
      <c r="J86" s="36" t="s">
        <v>409</v>
      </c>
    </row>
    <row r="88" spans="1:10" x14ac:dyDescent="0.2">
      <c r="A88" s="1" t="s">
        <v>410</v>
      </c>
      <c r="B88" s="1"/>
      <c r="C88" s="1"/>
      <c r="D88" s="1"/>
      <c r="E88" s="1"/>
      <c r="F88" s="1"/>
      <c r="G88" s="1"/>
      <c r="H88" s="1"/>
      <c r="I88" s="1"/>
      <c r="J88" s="1"/>
    </row>
    <row r="89" spans="1:10" ht="28" x14ac:dyDescent="0.2">
      <c r="A89" s="44" t="s">
        <v>126</v>
      </c>
      <c r="B89" s="44" t="s">
        <v>127</v>
      </c>
      <c r="C89" s="44" t="s">
        <v>28</v>
      </c>
      <c r="D89" s="44" t="s">
        <v>128</v>
      </c>
      <c r="E89" s="44" t="s">
        <v>129</v>
      </c>
      <c r="F89" s="44" t="s">
        <v>130</v>
      </c>
      <c r="G89" s="44" t="s">
        <v>131</v>
      </c>
      <c r="H89" s="44" t="s">
        <v>132</v>
      </c>
      <c r="I89" s="44" t="s">
        <v>133</v>
      </c>
      <c r="J89" s="44" t="s">
        <v>134</v>
      </c>
    </row>
    <row r="90" spans="1:10" x14ac:dyDescent="0.2">
      <c r="A90" s="16">
        <v>1</v>
      </c>
      <c r="B90" s="5" t="s">
        <v>68</v>
      </c>
      <c r="C90" s="35" t="s">
        <v>69</v>
      </c>
      <c r="D90" s="10">
        <v>5</v>
      </c>
      <c r="E90" s="10">
        <v>11</v>
      </c>
      <c r="F90" s="35" t="s">
        <v>157</v>
      </c>
      <c r="G90" s="35" t="s">
        <v>136</v>
      </c>
      <c r="H90" s="36" t="s">
        <v>411</v>
      </c>
      <c r="I90" s="10">
        <v>5</v>
      </c>
      <c r="J90" s="36" t="s">
        <v>412</v>
      </c>
    </row>
    <row r="91" spans="1:10" x14ac:dyDescent="0.2">
      <c r="A91" s="37">
        <v>2</v>
      </c>
      <c r="B91" s="38" t="s">
        <v>407</v>
      </c>
      <c r="C91" s="39" t="s">
        <v>199</v>
      </c>
      <c r="D91" s="40">
        <v>4</v>
      </c>
      <c r="E91" s="40">
        <v>12</v>
      </c>
      <c r="F91" s="39" t="s">
        <v>157</v>
      </c>
      <c r="G91" s="39" t="s">
        <v>136</v>
      </c>
      <c r="H91" s="41" t="s">
        <v>408</v>
      </c>
      <c r="I91" s="40">
        <v>4</v>
      </c>
      <c r="J91" s="41" t="s">
        <v>412</v>
      </c>
    </row>
    <row r="92" spans="1:10" x14ac:dyDescent="0.2">
      <c r="A92" s="42">
        <v>3</v>
      </c>
      <c r="B92" s="43" t="s">
        <v>396</v>
      </c>
      <c r="C92" s="35" t="s">
        <v>206</v>
      </c>
      <c r="D92" s="10">
        <v>6</v>
      </c>
      <c r="E92" s="10">
        <v>15</v>
      </c>
      <c r="F92" s="35" t="s">
        <v>157</v>
      </c>
      <c r="G92" s="35" t="s">
        <v>136</v>
      </c>
      <c r="H92" s="36" t="s">
        <v>207</v>
      </c>
      <c r="I92" s="10">
        <v>6</v>
      </c>
      <c r="J92" s="36" t="s">
        <v>412</v>
      </c>
    </row>
    <row r="93" spans="1:10" x14ac:dyDescent="0.2">
      <c r="A93" s="37">
        <v>4</v>
      </c>
      <c r="B93" s="38" t="s">
        <v>360</v>
      </c>
      <c r="C93" s="39" t="s">
        <v>77</v>
      </c>
      <c r="D93" s="40">
        <v>5</v>
      </c>
      <c r="E93" s="40">
        <v>13</v>
      </c>
      <c r="F93" s="39" t="s">
        <v>135</v>
      </c>
      <c r="G93" s="39" t="s">
        <v>136</v>
      </c>
      <c r="H93" s="41" t="s">
        <v>402</v>
      </c>
      <c r="I93" s="40">
        <v>7</v>
      </c>
      <c r="J93" s="41" t="s">
        <v>336</v>
      </c>
    </row>
    <row r="94" spans="1:10" x14ac:dyDescent="0.2">
      <c r="A94" s="42">
        <v>5</v>
      </c>
      <c r="B94" s="43" t="s">
        <v>384</v>
      </c>
      <c r="C94" s="35" t="s">
        <v>88</v>
      </c>
      <c r="D94" s="10">
        <v>6</v>
      </c>
      <c r="E94" s="10">
        <v>17</v>
      </c>
      <c r="F94" s="35" t="s">
        <v>165</v>
      </c>
      <c r="G94" s="35" t="s">
        <v>136</v>
      </c>
      <c r="H94" s="36" t="s">
        <v>413</v>
      </c>
      <c r="I94" s="10">
        <v>7</v>
      </c>
      <c r="J94" s="36" t="s">
        <v>414</v>
      </c>
    </row>
    <row r="95" spans="1:10" x14ac:dyDescent="0.2">
      <c r="A95" s="37">
        <v>6</v>
      </c>
      <c r="B95" s="38" t="s">
        <v>415</v>
      </c>
      <c r="C95" s="39" t="s">
        <v>44</v>
      </c>
      <c r="D95" s="40">
        <v>2</v>
      </c>
      <c r="E95" s="40">
        <v>5</v>
      </c>
      <c r="F95" s="39" t="s">
        <v>157</v>
      </c>
      <c r="G95" s="39" t="s">
        <v>136</v>
      </c>
      <c r="H95" s="41" t="s">
        <v>416</v>
      </c>
      <c r="I95" s="40">
        <v>4</v>
      </c>
      <c r="J95" s="41" t="s">
        <v>417</v>
      </c>
    </row>
    <row r="96" spans="1:10" x14ac:dyDescent="0.2">
      <c r="A96" s="42">
        <v>7</v>
      </c>
      <c r="B96" s="43" t="s">
        <v>387</v>
      </c>
      <c r="C96" s="35" t="s">
        <v>164</v>
      </c>
      <c r="D96" s="10">
        <v>8</v>
      </c>
      <c r="E96" s="10">
        <v>21</v>
      </c>
      <c r="F96" s="35" t="s">
        <v>157</v>
      </c>
      <c r="G96" s="35" t="s">
        <v>136</v>
      </c>
      <c r="H96" s="36" t="s">
        <v>36</v>
      </c>
      <c r="I96" s="10">
        <v>7</v>
      </c>
      <c r="J96" s="36" t="s">
        <v>392</v>
      </c>
    </row>
    <row r="97" spans="1:10" x14ac:dyDescent="0.2">
      <c r="A97" s="37">
        <v>8</v>
      </c>
      <c r="B97" s="38" t="s">
        <v>399</v>
      </c>
      <c r="C97" s="39" t="s">
        <v>153</v>
      </c>
      <c r="D97" s="40">
        <v>8</v>
      </c>
      <c r="E97" s="40">
        <v>23</v>
      </c>
      <c r="F97" s="39" t="s">
        <v>157</v>
      </c>
      <c r="G97" s="39" t="s">
        <v>136</v>
      </c>
      <c r="H97" s="41" t="s">
        <v>153</v>
      </c>
      <c r="I97" s="40">
        <v>8</v>
      </c>
      <c r="J97" s="41" t="s">
        <v>412</v>
      </c>
    </row>
    <row r="98" spans="1:10" x14ac:dyDescent="0.2">
      <c r="A98" s="42">
        <v>9</v>
      </c>
      <c r="B98" s="43" t="s">
        <v>369</v>
      </c>
      <c r="C98" s="35" t="s">
        <v>57</v>
      </c>
      <c r="D98" s="10">
        <v>8</v>
      </c>
      <c r="E98" s="10">
        <v>22</v>
      </c>
      <c r="F98" s="35" t="s">
        <v>157</v>
      </c>
      <c r="G98" s="35" t="s">
        <v>136</v>
      </c>
      <c r="H98" s="36" t="s">
        <v>57</v>
      </c>
      <c r="I98" s="10">
        <v>9</v>
      </c>
      <c r="J98" s="36" t="s">
        <v>392</v>
      </c>
    </row>
    <row r="99" spans="1:10" x14ac:dyDescent="0.2">
      <c r="A99" s="37">
        <v>10</v>
      </c>
      <c r="B99" s="38" t="s">
        <v>418</v>
      </c>
      <c r="C99" s="39" t="s">
        <v>69</v>
      </c>
      <c r="D99" s="40">
        <v>4</v>
      </c>
      <c r="E99" s="40">
        <v>10</v>
      </c>
      <c r="F99" s="39" t="s">
        <v>227</v>
      </c>
      <c r="G99" s="39" t="s">
        <v>136</v>
      </c>
      <c r="H99" s="41" t="s">
        <v>69</v>
      </c>
      <c r="I99" s="40">
        <v>2</v>
      </c>
      <c r="J99" s="41" t="s">
        <v>419</v>
      </c>
    </row>
    <row r="100" spans="1:10" x14ac:dyDescent="0.2">
      <c r="A100" s="42">
        <v>11</v>
      </c>
      <c r="B100" s="43" t="s">
        <v>420</v>
      </c>
      <c r="C100" s="35" t="s">
        <v>99</v>
      </c>
      <c r="D100" s="10">
        <v>1</v>
      </c>
      <c r="E100" s="10">
        <v>1</v>
      </c>
      <c r="F100" s="35" t="s">
        <v>227</v>
      </c>
      <c r="G100" s="35" t="s">
        <v>136</v>
      </c>
      <c r="H100" s="36" t="s">
        <v>99</v>
      </c>
      <c r="I100" s="10">
        <v>1</v>
      </c>
      <c r="J100" s="36" t="s">
        <v>421</v>
      </c>
    </row>
    <row r="102" spans="1:10" x14ac:dyDescent="0.2">
      <c r="A102" s="1" t="s">
        <v>422</v>
      </c>
      <c r="B102" s="1"/>
      <c r="C102" s="1"/>
      <c r="D102" s="1"/>
      <c r="E102" s="1"/>
      <c r="F102" s="1"/>
      <c r="G102" s="1"/>
      <c r="H102" s="1"/>
      <c r="I102" s="1"/>
      <c r="J102" s="1"/>
    </row>
    <row r="103" spans="1:10" ht="28" x14ac:dyDescent="0.2">
      <c r="A103" s="44" t="s">
        <v>126</v>
      </c>
      <c r="B103" s="44" t="s">
        <v>127</v>
      </c>
      <c r="C103" s="44" t="s">
        <v>28</v>
      </c>
      <c r="D103" s="44" t="s">
        <v>128</v>
      </c>
      <c r="E103" s="44" t="s">
        <v>129</v>
      </c>
      <c r="F103" s="44" t="s">
        <v>130</v>
      </c>
      <c r="G103" s="44" t="s">
        <v>131</v>
      </c>
      <c r="H103" s="44" t="s">
        <v>132</v>
      </c>
      <c r="I103" s="44" t="s">
        <v>133</v>
      </c>
      <c r="J103" s="44" t="s">
        <v>134</v>
      </c>
    </row>
    <row r="104" spans="1:10" x14ac:dyDescent="0.2">
      <c r="A104" s="16">
        <v>1</v>
      </c>
      <c r="B104" s="5" t="s">
        <v>72</v>
      </c>
      <c r="C104" s="35" t="s">
        <v>73</v>
      </c>
      <c r="D104" s="10">
        <v>8</v>
      </c>
      <c r="E104" s="10">
        <v>16</v>
      </c>
      <c r="F104" s="35" t="s">
        <v>423</v>
      </c>
      <c r="G104" s="35" t="s">
        <v>136</v>
      </c>
      <c r="H104" s="36" t="s">
        <v>424</v>
      </c>
      <c r="I104" s="10">
        <v>4</v>
      </c>
      <c r="J104" s="36" t="s">
        <v>425</v>
      </c>
    </row>
    <row r="105" spans="1:10" x14ac:dyDescent="0.2">
      <c r="A105" s="37">
        <v>2</v>
      </c>
      <c r="B105" s="38" t="s">
        <v>426</v>
      </c>
      <c r="C105" s="39" t="s">
        <v>84</v>
      </c>
      <c r="D105" s="40">
        <v>7</v>
      </c>
      <c r="E105" s="40">
        <v>18</v>
      </c>
      <c r="F105" s="39" t="s">
        <v>423</v>
      </c>
      <c r="G105" s="39" t="s">
        <v>136</v>
      </c>
      <c r="H105" s="41" t="s">
        <v>424</v>
      </c>
      <c r="I105" s="40">
        <v>4</v>
      </c>
      <c r="J105" s="41" t="s">
        <v>427</v>
      </c>
    </row>
    <row r="106" spans="1:10" x14ac:dyDescent="0.2">
      <c r="A106" s="42">
        <v>3</v>
      </c>
      <c r="B106" s="43" t="s">
        <v>415</v>
      </c>
      <c r="C106" s="35" t="s">
        <v>44</v>
      </c>
      <c r="D106" s="10">
        <v>2</v>
      </c>
      <c r="E106" s="10">
        <v>5</v>
      </c>
      <c r="F106" s="35" t="s">
        <v>157</v>
      </c>
      <c r="G106" s="35" t="s">
        <v>136</v>
      </c>
      <c r="H106" s="36" t="s">
        <v>320</v>
      </c>
      <c r="I106" s="10">
        <v>4</v>
      </c>
      <c r="J106" s="36" t="s">
        <v>428</v>
      </c>
    </row>
    <row r="107" spans="1:10" x14ac:dyDescent="0.2">
      <c r="A107" s="37">
        <v>4</v>
      </c>
      <c r="B107" s="38" t="s">
        <v>68</v>
      </c>
      <c r="C107" s="39" t="s">
        <v>69</v>
      </c>
      <c r="D107" s="40">
        <v>5</v>
      </c>
      <c r="E107" s="40">
        <v>11</v>
      </c>
      <c r="F107" s="39" t="s">
        <v>157</v>
      </c>
      <c r="G107" s="39" t="s">
        <v>136</v>
      </c>
      <c r="H107" s="41" t="s">
        <v>69</v>
      </c>
      <c r="I107" s="40">
        <v>5</v>
      </c>
      <c r="J107" s="41" t="s">
        <v>336</v>
      </c>
    </row>
    <row r="108" spans="1:10" x14ac:dyDescent="0.2">
      <c r="A108" s="42">
        <v>5</v>
      </c>
      <c r="B108" s="43" t="s">
        <v>407</v>
      </c>
      <c r="C108" s="35" t="s">
        <v>199</v>
      </c>
      <c r="D108" s="10">
        <v>4</v>
      </c>
      <c r="E108" s="10">
        <v>12</v>
      </c>
      <c r="F108" s="35" t="s">
        <v>157</v>
      </c>
      <c r="G108" s="35" t="s">
        <v>136</v>
      </c>
      <c r="H108" s="36" t="s">
        <v>199</v>
      </c>
      <c r="I108" s="10">
        <v>4</v>
      </c>
      <c r="J108" s="36" t="s">
        <v>336</v>
      </c>
    </row>
    <row r="109" spans="1:10" x14ac:dyDescent="0.2">
      <c r="A109" s="37">
        <v>6</v>
      </c>
      <c r="B109" s="38" t="s">
        <v>418</v>
      </c>
      <c r="C109" s="39" t="s">
        <v>69</v>
      </c>
      <c r="D109" s="40">
        <v>4</v>
      </c>
      <c r="E109" s="40">
        <v>10</v>
      </c>
      <c r="F109" s="39" t="s">
        <v>227</v>
      </c>
      <c r="G109" s="39" t="s">
        <v>136</v>
      </c>
      <c r="H109" s="41" t="s">
        <v>69</v>
      </c>
      <c r="I109" s="40">
        <v>2</v>
      </c>
      <c r="J109" s="41" t="s">
        <v>429</v>
      </c>
    </row>
    <row r="110" spans="1:10" x14ac:dyDescent="0.2">
      <c r="A110" s="42">
        <v>7</v>
      </c>
      <c r="B110" s="43" t="s">
        <v>420</v>
      </c>
      <c r="C110" s="35" t="s">
        <v>99</v>
      </c>
      <c r="D110" s="10">
        <v>1</v>
      </c>
      <c r="E110" s="10">
        <v>1</v>
      </c>
      <c r="F110" s="35" t="s">
        <v>227</v>
      </c>
      <c r="G110" s="35" t="s">
        <v>136</v>
      </c>
      <c r="H110" s="36" t="s">
        <v>99</v>
      </c>
      <c r="I110" s="10">
        <v>1</v>
      </c>
      <c r="J110" s="36" t="s">
        <v>430</v>
      </c>
    </row>
    <row r="111" spans="1:10" x14ac:dyDescent="0.2">
      <c r="A111" s="37">
        <v>8</v>
      </c>
      <c r="B111" s="38" t="s">
        <v>384</v>
      </c>
      <c r="C111" s="39" t="s">
        <v>88</v>
      </c>
      <c r="D111" s="40">
        <v>6</v>
      </c>
      <c r="E111" s="40">
        <v>17</v>
      </c>
      <c r="F111" s="39" t="s">
        <v>165</v>
      </c>
      <c r="G111" s="39" t="s">
        <v>136</v>
      </c>
      <c r="H111" s="41" t="s">
        <v>431</v>
      </c>
      <c r="I111" s="40">
        <v>7</v>
      </c>
      <c r="J111" s="41" t="s">
        <v>432</v>
      </c>
    </row>
    <row r="112" spans="1:10" x14ac:dyDescent="0.2">
      <c r="A112" s="42">
        <v>9</v>
      </c>
      <c r="B112" s="43" t="s">
        <v>396</v>
      </c>
      <c r="C112" s="35" t="s">
        <v>206</v>
      </c>
      <c r="D112" s="10">
        <v>6</v>
      </c>
      <c r="E112" s="10">
        <v>15</v>
      </c>
      <c r="F112" s="35" t="s">
        <v>157</v>
      </c>
      <c r="G112" s="35" t="s">
        <v>136</v>
      </c>
      <c r="H112" s="36" t="s">
        <v>206</v>
      </c>
      <c r="I112" s="10">
        <v>6</v>
      </c>
      <c r="J112" s="36" t="s">
        <v>336</v>
      </c>
    </row>
    <row r="113" spans="1:10" x14ac:dyDescent="0.2">
      <c r="A113" s="37">
        <v>10</v>
      </c>
      <c r="B113" s="38" t="s">
        <v>433</v>
      </c>
      <c r="C113" s="39" t="s">
        <v>88</v>
      </c>
      <c r="D113" s="40">
        <v>6</v>
      </c>
      <c r="E113" s="40">
        <v>20</v>
      </c>
      <c r="F113" s="39" t="s">
        <v>157</v>
      </c>
      <c r="G113" s="39" t="s">
        <v>136</v>
      </c>
      <c r="H113" s="41" t="s">
        <v>434</v>
      </c>
      <c r="I113" s="40">
        <v>5</v>
      </c>
      <c r="J113" s="41" t="s">
        <v>435</v>
      </c>
    </row>
    <row r="114" spans="1:10" x14ac:dyDescent="0.2">
      <c r="A114" s="42">
        <v>11</v>
      </c>
      <c r="B114" s="43" t="s">
        <v>360</v>
      </c>
      <c r="C114" s="35" t="s">
        <v>77</v>
      </c>
      <c r="D114" s="10">
        <v>5</v>
      </c>
      <c r="E114" s="10">
        <v>13</v>
      </c>
      <c r="F114" s="35" t="s">
        <v>135</v>
      </c>
      <c r="G114" s="35" t="s">
        <v>136</v>
      </c>
      <c r="H114" s="36" t="s">
        <v>77</v>
      </c>
      <c r="I114" s="10">
        <v>7</v>
      </c>
      <c r="J114" s="36" t="s">
        <v>336</v>
      </c>
    </row>
  </sheetData>
  <mergeCells count="8">
    <mergeCell ref="A74:J74"/>
    <mergeCell ref="A88:J88"/>
    <mergeCell ref="A102:J102"/>
    <mergeCell ref="A4:J4"/>
    <mergeCell ref="A18:J18"/>
    <mergeCell ref="A32:J32"/>
    <mergeCell ref="A46:J46"/>
    <mergeCell ref="A60:J6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4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8" customWidth="1"/>
    <col min="3" max="3" width="11" customWidth="1"/>
    <col min="4" max="5" width="6" customWidth="1"/>
    <col min="6" max="7" width="16" customWidth="1"/>
    <col min="8" max="8" width="34" customWidth="1"/>
    <col min="9" max="9" width="9" customWidth="1"/>
    <col min="10" max="10" width="52" customWidth="1"/>
  </cols>
  <sheetData>
    <row r="1" spans="1:10" ht="18" x14ac:dyDescent="0.2">
      <c r="A1" s="33" t="s">
        <v>436</v>
      </c>
    </row>
    <row r="2" spans="1:10" x14ac:dyDescent="0.2">
      <c r="A2" s="4" t="s">
        <v>124</v>
      </c>
    </row>
    <row r="4" spans="1:10" x14ac:dyDescent="0.2">
      <c r="A4" s="1" t="s">
        <v>437</v>
      </c>
      <c r="B4" s="1"/>
      <c r="C4" s="1"/>
      <c r="D4" s="1"/>
      <c r="E4" s="1"/>
      <c r="F4" s="1"/>
      <c r="G4" s="1"/>
      <c r="H4" s="1"/>
      <c r="I4" s="1"/>
      <c r="J4" s="1"/>
    </row>
    <row r="5" spans="1:10" ht="28" x14ac:dyDescent="0.2">
      <c r="A5" s="45" t="s">
        <v>126</v>
      </c>
      <c r="B5" s="45" t="s">
        <v>127</v>
      </c>
      <c r="C5" s="45" t="s">
        <v>28</v>
      </c>
      <c r="D5" s="45" t="s">
        <v>128</v>
      </c>
      <c r="E5" s="45" t="s">
        <v>129</v>
      </c>
      <c r="F5" s="45" t="s">
        <v>130</v>
      </c>
      <c r="G5" s="45" t="s">
        <v>131</v>
      </c>
      <c r="H5" s="45" t="s">
        <v>132</v>
      </c>
      <c r="I5" s="45" t="s">
        <v>133</v>
      </c>
      <c r="J5" s="45" t="s">
        <v>134</v>
      </c>
    </row>
    <row r="6" spans="1:10" ht="26" x14ac:dyDescent="0.2">
      <c r="A6" s="16">
        <v>1</v>
      </c>
      <c r="B6" s="5" t="s">
        <v>76</v>
      </c>
      <c r="C6" s="35" t="s">
        <v>77</v>
      </c>
      <c r="D6" s="10">
        <v>30</v>
      </c>
      <c r="E6" s="10">
        <v>250</v>
      </c>
      <c r="F6" s="35" t="s">
        <v>135</v>
      </c>
      <c r="G6" s="35" t="s">
        <v>136</v>
      </c>
      <c r="H6" s="36" t="s">
        <v>438</v>
      </c>
      <c r="I6" s="10">
        <v>95</v>
      </c>
      <c r="J6" s="36" t="s">
        <v>439</v>
      </c>
    </row>
    <row r="7" spans="1:10" ht="26" x14ac:dyDescent="0.2">
      <c r="A7" s="37">
        <v>2</v>
      </c>
      <c r="B7" s="38" t="s">
        <v>440</v>
      </c>
      <c r="C7" s="39" t="s">
        <v>84</v>
      </c>
      <c r="D7" s="40">
        <v>28</v>
      </c>
      <c r="E7" s="40">
        <v>240</v>
      </c>
      <c r="F7" s="39" t="s">
        <v>135</v>
      </c>
      <c r="G7" s="39" t="s">
        <v>136</v>
      </c>
      <c r="H7" s="41" t="s">
        <v>441</v>
      </c>
      <c r="I7" s="40">
        <v>95</v>
      </c>
      <c r="J7" s="41" t="s">
        <v>442</v>
      </c>
    </row>
    <row r="8" spans="1:10" x14ac:dyDescent="0.2">
      <c r="A8" s="42">
        <v>3</v>
      </c>
      <c r="B8" s="43" t="s">
        <v>80</v>
      </c>
      <c r="C8" s="35" t="s">
        <v>40</v>
      </c>
      <c r="D8" s="10">
        <v>27</v>
      </c>
      <c r="E8" s="10">
        <v>230</v>
      </c>
      <c r="F8" s="35" t="s">
        <v>135</v>
      </c>
      <c r="G8" s="35" t="s">
        <v>443</v>
      </c>
      <c r="H8" s="36" t="s">
        <v>444</v>
      </c>
      <c r="I8" s="10">
        <v>85</v>
      </c>
      <c r="J8" s="36" t="s">
        <v>445</v>
      </c>
    </row>
    <row r="9" spans="1:10" ht="26" x14ac:dyDescent="0.2">
      <c r="A9" s="37">
        <v>4</v>
      </c>
      <c r="B9" s="38" t="s">
        <v>446</v>
      </c>
      <c r="C9" s="39" t="s">
        <v>61</v>
      </c>
      <c r="D9" s="40">
        <v>26</v>
      </c>
      <c r="E9" s="40">
        <v>200</v>
      </c>
      <c r="F9" s="39" t="s">
        <v>135</v>
      </c>
      <c r="G9" s="39" t="s">
        <v>447</v>
      </c>
      <c r="H9" s="41" t="s">
        <v>448</v>
      </c>
      <c r="I9" s="40">
        <v>80</v>
      </c>
      <c r="J9" s="41" t="s">
        <v>449</v>
      </c>
    </row>
    <row r="10" spans="1:10" x14ac:dyDescent="0.2">
      <c r="A10" s="42">
        <v>5</v>
      </c>
      <c r="B10" s="43" t="s">
        <v>450</v>
      </c>
      <c r="C10" s="35" t="s">
        <v>149</v>
      </c>
      <c r="D10" s="10">
        <v>25</v>
      </c>
      <c r="E10" s="10">
        <v>180</v>
      </c>
      <c r="F10" s="35" t="s">
        <v>135</v>
      </c>
      <c r="G10" s="35" t="s">
        <v>298</v>
      </c>
      <c r="H10" s="36" t="s">
        <v>451</v>
      </c>
      <c r="I10" s="10">
        <v>75</v>
      </c>
      <c r="J10" s="36" t="s">
        <v>452</v>
      </c>
    </row>
    <row r="11" spans="1:10" x14ac:dyDescent="0.2">
      <c r="A11" s="37">
        <v>6</v>
      </c>
      <c r="B11" s="38" t="s">
        <v>453</v>
      </c>
      <c r="C11" s="39" t="s">
        <v>149</v>
      </c>
      <c r="D11" s="40">
        <v>22</v>
      </c>
      <c r="E11" s="40">
        <v>128</v>
      </c>
      <c r="F11" s="39" t="s">
        <v>135</v>
      </c>
      <c r="G11" s="39" t="s">
        <v>136</v>
      </c>
      <c r="H11" s="41" t="s">
        <v>454</v>
      </c>
      <c r="I11" s="40">
        <v>55</v>
      </c>
      <c r="J11" s="41" t="s">
        <v>455</v>
      </c>
    </row>
    <row r="12" spans="1:10" x14ac:dyDescent="0.2">
      <c r="A12" s="42">
        <v>7</v>
      </c>
      <c r="B12" s="43" t="s">
        <v>456</v>
      </c>
      <c r="C12" s="35" t="s">
        <v>77</v>
      </c>
      <c r="D12" s="10">
        <v>19</v>
      </c>
      <c r="E12" s="10">
        <v>102</v>
      </c>
      <c r="F12" s="35" t="s">
        <v>157</v>
      </c>
      <c r="G12" s="35" t="s">
        <v>136</v>
      </c>
      <c r="H12" s="36" t="s">
        <v>457</v>
      </c>
      <c r="I12" s="10">
        <v>45</v>
      </c>
      <c r="J12" s="36" t="s">
        <v>458</v>
      </c>
    </row>
    <row r="13" spans="1:10" x14ac:dyDescent="0.2">
      <c r="A13" s="37">
        <v>8</v>
      </c>
      <c r="B13" s="38" t="s">
        <v>459</v>
      </c>
      <c r="C13" s="39" t="s">
        <v>185</v>
      </c>
      <c r="D13" s="40">
        <v>18</v>
      </c>
      <c r="E13" s="40">
        <v>100</v>
      </c>
      <c r="F13" s="39" t="s">
        <v>460</v>
      </c>
      <c r="G13" s="39" t="s">
        <v>136</v>
      </c>
      <c r="H13" s="41" t="s">
        <v>461</v>
      </c>
      <c r="I13" s="40">
        <v>45</v>
      </c>
      <c r="J13" s="41" t="s">
        <v>462</v>
      </c>
    </row>
    <row r="14" spans="1:10" x14ac:dyDescent="0.2">
      <c r="A14" s="42">
        <v>9</v>
      </c>
      <c r="B14" s="43" t="s">
        <v>463</v>
      </c>
      <c r="C14" s="35" t="s">
        <v>77</v>
      </c>
      <c r="D14" s="10">
        <v>18</v>
      </c>
      <c r="E14" s="10">
        <v>90</v>
      </c>
      <c r="F14" s="35" t="s">
        <v>135</v>
      </c>
      <c r="G14" s="35" t="s">
        <v>136</v>
      </c>
      <c r="H14" s="36" t="s">
        <v>464</v>
      </c>
      <c r="I14" s="10">
        <v>42</v>
      </c>
      <c r="J14" s="36" t="s">
        <v>465</v>
      </c>
    </row>
    <row r="15" spans="1:10" x14ac:dyDescent="0.2">
      <c r="A15" s="37">
        <v>10</v>
      </c>
      <c r="B15" s="38" t="s">
        <v>466</v>
      </c>
      <c r="C15" s="39" t="s">
        <v>40</v>
      </c>
      <c r="D15" s="40">
        <v>17</v>
      </c>
      <c r="E15" s="40">
        <v>80</v>
      </c>
      <c r="F15" s="39" t="s">
        <v>135</v>
      </c>
      <c r="G15" s="39" t="s">
        <v>136</v>
      </c>
      <c r="H15" s="41" t="s">
        <v>467</v>
      </c>
      <c r="I15" s="40">
        <v>40</v>
      </c>
      <c r="J15" s="41" t="s">
        <v>468</v>
      </c>
    </row>
    <row r="16" spans="1:10" x14ac:dyDescent="0.2">
      <c r="A16" s="42">
        <v>11</v>
      </c>
      <c r="B16" s="43" t="s">
        <v>469</v>
      </c>
      <c r="C16" s="35" t="s">
        <v>153</v>
      </c>
      <c r="D16" s="10">
        <v>17</v>
      </c>
      <c r="E16" s="10">
        <v>87</v>
      </c>
      <c r="F16" s="35" t="s">
        <v>135</v>
      </c>
      <c r="G16" s="35" t="s">
        <v>136</v>
      </c>
      <c r="H16" s="36" t="s">
        <v>470</v>
      </c>
      <c r="I16" s="10">
        <v>40</v>
      </c>
      <c r="J16" s="36" t="s">
        <v>471</v>
      </c>
    </row>
    <row r="18" spans="1:10" x14ac:dyDescent="0.2">
      <c r="A18" s="1" t="s">
        <v>472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ht="28" x14ac:dyDescent="0.2">
      <c r="A19" s="45" t="s">
        <v>126</v>
      </c>
      <c r="B19" s="45" t="s">
        <v>127</v>
      </c>
      <c r="C19" s="45" t="s">
        <v>28</v>
      </c>
      <c r="D19" s="45" t="s">
        <v>128</v>
      </c>
      <c r="E19" s="45" t="s">
        <v>129</v>
      </c>
      <c r="F19" s="45" t="s">
        <v>130</v>
      </c>
      <c r="G19" s="45" t="s">
        <v>131</v>
      </c>
      <c r="H19" s="45" t="s">
        <v>132</v>
      </c>
      <c r="I19" s="45" t="s">
        <v>133</v>
      </c>
      <c r="J19" s="45" t="s">
        <v>134</v>
      </c>
    </row>
    <row r="20" spans="1:10" x14ac:dyDescent="0.2">
      <c r="A20" s="16">
        <v>1</v>
      </c>
      <c r="B20" s="5" t="s">
        <v>80</v>
      </c>
      <c r="C20" s="35" t="s">
        <v>40</v>
      </c>
      <c r="D20" s="10">
        <v>27</v>
      </c>
      <c r="E20" s="10">
        <v>230</v>
      </c>
      <c r="F20" s="35" t="s">
        <v>135</v>
      </c>
      <c r="G20" s="35" t="s">
        <v>443</v>
      </c>
      <c r="H20" s="36" t="s">
        <v>473</v>
      </c>
      <c r="I20" s="10">
        <v>85</v>
      </c>
      <c r="J20" s="36" t="s">
        <v>474</v>
      </c>
    </row>
    <row r="21" spans="1:10" x14ac:dyDescent="0.2">
      <c r="A21" s="37">
        <v>2</v>
      </c>
      <c r="B21" s="38" t="s">
        <v>446</v>
      </c>
      <c r="C21" s="39" t="s">
        <v>61</v>
      </c>
      <c r="D21" s="40">
        <v>26</v>
      </c>
      <c r="E21" s="40">
        <v>200</v>
      </c>
      <c r="F21" s="39" t="s">
        <v>135</v>
      </c>
      <c r="G21" s="39" t="s">
        <v>447</v>
      </c>
      <c r="H21" s="41" t="s">
        <v>475</v>
      </c>
      <c r="I21" s="40">
        <v>80</v>
      </c>
      <c r="J21" s="41" t="s">
        <v>474</v>
      </c>
    </row>
    <row r="22" spans="1:10" x14ac:dyDescent="0.2">
      <c r="A22" s="42">
        <v>3</v>
      </c>
      <c r="B22" s="43" t="s">
        <v>450</v>
      </c>
      <c r="C22" s="35" t="s">
        <v>149</v>
      </c>
      <c r="D22" s="10">
        <v>25</v>
      </c>
      <c r="E22" s="10">
        <v>180</v>
      </c>
      <c r="F22" s="35" t="s">
        <v>135</v>
      </c>
      <c r="G22" s="35" t="s">
        <v>298</v>
      </c>
      <c r="H22" s="36" t="s">
        <v>476</v>
      </c>
      <c r="I22" s="10">
        <v>75</v>
      </c>
      <c r="J22" s="36" t="s">
        <v>474</v>
      </c>
    </row>
    <row r="23" spans="1:10" x14ac:dyDescent="0.2">
      <c r="A23" s="37">
        <v>4</v>
      </c>
      <c r="B23" s="38" t="s">
        <v>83</v>
      </c>
      <c r="C23" s="39" t="s">
        <v>84</v>
      </c>
      <c r="D23" s="40">
        <v>15</v>
      </c>
      <c r="E23" s="40">
        <v>98</v>
      </c>
      <c r="F23" s="39" t="s">
        <v>157</v>
      </c>
      <c r="G23" s="39" t="s">
        <v>477</v>
      </c>
      <c r="H23" s="41" t="s">
        <v>478</v>
      </c>
      <c r="I23" s="40">
        <v>50</v>
      </c>
      <c r="J23" s="41" t="s">
        <v>479</v>
      </c>
    </row>
    <row r="24" spans="1:10" ht="26" x14ac:dyDescent="0.2">
      <c r="A24" s="42">
        <v>5</v>
      </c>
      <c r="B24" s="43" t="s">
        <v>480</v>
      </c>
      <c r="C24" s="35" t="s">
        <v>88</v>
      </c>
      <c r="D24" s="10">
        <v>16</v>
      </c>
      <c r="E24" s="10">
        <v>91</v>
      </c>
      <c r="F24" s="35" t="s">
        <v>135</v>
      </c>
      <c r="G24" s="35" t="s">
        <v>136</v>
      </c>
      <c r="H24" s="36" t="s">
        <v>481</v>
      </c>
      <c r="I24" s="10">
        <v>45</v>
      </c>
      <c r="J24" s="36" t="s">
        <v>482</v>
      </c>
    </row>
    <row r="25" spans="1:10" x14ac:dyDescent="0.2">
      <c r="A25" s="37">
        <v>6</v>
      </c>
      <c r="B25" s="38" t="s">
        <v>483</v>
      </c>
      <c r="C25" s="39" t="s">
        <v>44</v>
      </c>
      <c r="D25" s="40">
        <v>14</v>
      </c>
      <c r="E25" s="40">
        <v>80</v>
      </c>
      <c r="F25" s="39" t="s">
        <v>135</v>
      </c>
      <c r="G25" s="39" t="s">
        <v>443</v>
      </c>
      <c r="H25" s="41" t="s">
        <v>484</v>
      </c>
      <c r="I25" s="40">
        <v>40</v>
      </c>
      <c r="J25" s="41" t="s">
        <v>485</v>
      </c>
    </row>
    <row r="26" spans="1:10" x14ac:dyDescent="0.2">
      <c r="A26" s="42">
        <v>7</v>
      </c>
      <c r="B26" s="43" t="s">
        <v>459</v>
      </c>
      <c r="C26" s="35" t="s">
        <v>185</v>
      </c>
      <c r="D26" s="10">
        <v>18</v>
      </c>
      <c r="E26" s="10">
        <v>100</v>
      </c>
      <c r="F26" s="35" t="s">
        <v>135</v>
      </c>
      <c r="G26" s="35" t="s">
        <v>136</v>
      </c>
      <c r="H26" s="36" t="s">
        <v>461</v>
      </c>
      <c r="I26" s="10">
        <v>45</v>
      </c>
      <c r="J26" s="36" t="s">
        <v>474</v>
      </c>
    </row>
    <row r="27" spans="1:10" x14ac:dyDescent="0.2">
      <c r="A27" s="37">
        <v>8</v>
      </c>
      <c r="B27" s="38" t="s">
        <v>466</v>
      </c>
      <c r="C27" s="39" t="s">
        <v>40</v>
      </c>
      <c r="D27" s="40">
        <v>17</v>
      </c>
      <c r="E27" s="40">
        <v>80</v>
      </c>
      <c r="F27" s="39" t="s">
        <v>135</v>
      </c>
      <c r="G27" s="39" t="s">
        <v>136</v>
      </c>
      <c r="H27" s="41" t="s">
        <v>486</v>
      </c>
      <c r="I27" s="40">
        <v>40</v>
      </c>
      <c r="J27" s="41" t="s">
        <v>474</v>
      </c>
    </row>
    <row r="28" spans="1:10" x14ac:dyDescent="0.2">
      <c r="A28" s="42">
        <v>9</v>
      </c>
      <c r="B28" s="43" t="s">
        <v>469</v>
      </c>
      <c r="C28" s="35" t="s">
        <v>153</v>
      </c>
      <c r="D28" s="10">
        <v>17</v>
      </c>
      <c r="E28" s="10">
        <v>87</v>
      </c>
      <c r="F28" s="35" t="s">
        <v>135</v>
      </c>
      <c r="G28" s="35" t="s">
        <v>136</v>
      </c>
      <c r="H28" s="36" t="s">
        <v>153</v>
      </c>
      <c r="I28" s="10">
        <v>40</v>
      </c>
      <c r="J28" s="36" t="s">
        <v>474</v>
      </c>
    </row>
    <row r="29" spans="1:10" x14ac:dyDescent="0.2">
      <c r="A29" s="37">
        <v>10</v>
      </c>
      <c r="B29" s="38" t="s">
        <v>456</v>
      </c>
      <c r="C29" s="39" t="s">
        <v>77</v>
      </c>
      <c r="D29" s="40">
        <v>19</v>
      </c>
      <c r="E29" s="40">
        <v>102</v>
      </c>
      <c r="F29" s="39" t="s">
        <v>157</v>
      </c>
      <c r="G29" s="39" t="s">
        <v>136</v>
      </c>
      <c r="H29" s="41" t="s">
        <v>487</v>
      </c>
      <c r="I29" s="40">
        <v>45</v>
      </c>
      <c r="J29" s="41" t="s">
        <v>474</v>
      </c>
    </row>
    <row r="30" spans="1:10" x14ac:dyDescent="0.2">
      <c r="A30" s="42">
        <v>11</v>
      </c>
      <c r="B30" s="43" t="s">
        <v>453</v>
      </c>
      <c r="C30" s="35" t="s">
        <v>149</v>
      </c>
      <c r="D30" s="10">
        <v>22</v>
      </c>
      <c r="E30" s="10">
        <v>128</v>
      </c>
      <c r="F30" s="35" t="s">
        <v>135</v>
      </c>
      <c r="G30" s="35" t="s">
        <v>136</v>
      </c>
      <c r="H30" s="36" t="s">
        <v>149</v>
      </c>
      <c r="I30" s="10">
        <v>55</v>
      </c>
      <c r="J30" s="36" t="s">
        <v>474</v>
      </c>
    </row>
    <row r="32" spans="1:10" x14ac:dyDescent="0.2">
      <c r="A32" s="1" t="s">
        <v>488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28" x14ac:dyDescent="0.2">
      <c r="A33" s="45" t="s">
        <v>126</v>
      </c>
      <c r="B33" s="45" t="s">
        <v>127</v>
      </c>
      <c r="C33" s="45" t="s">
        <v>28</v>
      </c>
      <c r="D33" s="45" t="s">
        <v>128</v>
      </c>
      <c r="E33" s="45" t="s">
        <v>129</v>
      </c>
      <c r="F33" s="45" t="s">
        <v>130</v>
      </c>
      <c r="G33" s="45" t="s">
        <v>131</v>
      </c>
      <c r="H33" s="45" t="s">
        <v>132</v>
      </c>
      <c r="I33" s="45" t="s">
        <v>133</v>
      </c>
      <c r="J33" s="45" t="s">
        <v>134</v>
      </c>
    </row>
    <row r="34" spans="1:10" x14ac:dyDescent="0.2">
      <c r="A34" s="16">
        <v>1</v>
      </c>
      <c r="B34" s="5" t="s">
        <v>83</v>
      </c>
      <c r="C34" s="35" t="s">
        <v>84</v>
      </c>
      <c r="D34" s="10">
        <v>15</v>
      </c>
      <c r="E34" s="10">
        <v>98</v>
      </c>
      <c r="F34" s="35" t="s">
        <v>157</v>
      </c>
      <c r="G34" s="35" t="s">
        <v>477</v>
      </c>
      <c r="H34" s="36" t="s">
        <v>489</v>
      </c>
      <c r="I34" s="10">
        <v>50</v>
      </c>
      <c r="J34" s="36" t="s">
        <v>490</v>
      </c>
    </row>
    <row r="35" spans="1:10" x14ac:dyDescent="0.2">
      <c r="A35" s="37">
        <v>2</v>
      </c>
      <c r="B35" s="38" t="s">
        <v>480</v>
      </c>
      <c r="C35" s="39" t="s">
        <v>88</v>
      </c>
      <c r="D35" s="40">
        <v>16</v>
      </c>
      <c r="E35" s="40">
        <v>91</v>
      </c>
      <c r="F35" s="39" t="s">
        <v>135</v>
      </c>
      <c r="G35" s="39" t="s">
        <v>136</v>
      </c>
      <c r="H35" s="41" t="s">
        <v>491</v>
      </c>
      <c r="I35" s="40">
        <v>45</v>
      </c>
      <c r="J35" s="41" t="s">
        <v>490</v>
      </c>
    </row>
    <row r="36" spans="1:10" x14ac:dyDescent="0.2">
      <c r="A36" s="42">
        <v>3</v>
      </c>
      <c r="B36" s="43" t="s">
        <v>483</v>
      </c>
      <c r="C36" s="35" t="s">
        <v>44</v>
      </c>
      <c r="D36" s="10">
        <v>14</v>
      </c>
      <c r="E36" s="10">
        <v>80</v>
      </c>
      <c r="F36" s="35" t="s">
        <v>135</v>
      </c>
      <c r="G36" s="35" t="s">
        <v>443</v>
      </c>
      <c r="H36" s="36" t="s">
        <v>131</v>
      </c>
      <c r="I36" s="10">
        <v>40</v>
      </c>
      <c r="J36" s="36" t="s">
        <v>490</v>
      </c>
    </row>
    <row r="37" spans="1:10" x14ac:dyDescent="0.2">
      <c r="A37" s="37">
        <v>4</v>
      </c>
      <c r="B37" s="38" t="s">
        <v>87</v>
      </c>
      <c r="C37" s="39" t="s">
        <v>88</v>
      </c>
      <c r="D37" s="40">
        <v>13</v>
      </c>
      <c r="E37" s="40">
        <v>64</v>
      </c>
      <c r="F37" s="39" t="s">
        <v>135</v>
      </c>
      <c r="G37" s="39" t="s">
        <v>136</v>
      </c>
      <c r="H37" s="41" t="s">
        <v>492</v>
      </c>
      <c r="I37" s="40">
        <v>32</v>
      </c>
      <c r="J37" s="41" t="s">
        <v>493</v>
      </c>
    </row>
    <row r="38" spans="1:10" x14ac:dyDescent="0.2">
      <c r="A38" s="42">
        <v>5</v>
      </c>
      <c r="B38" s="43" t="s">
        <v>494</v>
      </c>
      <c r="C38" s="35" t="s">
        <v>153</v>
      </c>
      <c r="D38" s="10">
        <v>13</v>
      </c>
      <c r="E38" s="10">
        <v>61</v>
      </c>
      <c r="F38" s="35" t="s">
        <v>157</v>
      </c>
      <c r="G38" s="35" t="s">
        <v>298</v>
      </c>
      <c r="H38" s="36" t="s">
        <v>495</v>
      </c>
      <c r="I38" s="10">
        <v>30</v>
      </c>
      <c r="J38" s="36" t="s">
        <v>496</v>
      </c>
    </row>
    <row r="39" spans="1:10" x14ac:dyDescent="0.2">
      <c r="A39" s="37">
        <v>6</v>
      </c>
      <c r="B39" s="38" t="s">
        <v>497</v>
      </c>
      <c r="C39" s="39" t="s">
        <v>73</v>
      </c>
      <c r="D39" s="40">
        <v>12</v>
      </c>
      <c r="E39" s="40">
        <v>42</v>
      </c>
      <c r="F39" s="39" t="s">
        <v>157</v>
      </c>
      <c r="G39" s="39" t="s">
        <v>298</v>
      </c>
      <c r="H39" s="41" t="s">
        <v>498</v>
      </c>
      <c r="I39" s="40">
        <v>28</v>
      </c>
      <c r="J39" s="41" t="s">
        <v>499</v>
      </c>
    </row>
    <row r="40" spans="1:10" x14ac:dyDescent="0.2">
      <c r="A40" s="42">
        <v>7</v>
      </c>
      <c r="B40" s="43" t="s">
        <v>500</v>
      </c>
      <c r="C40" s="35" t="s">
        <v>153</v>
      </c>
      <c r="D40" s="10">
        <v>12</v>
      </c>
      <c r="E40" s="10">
        <v>58</v>
      </c>
      <c r="F40" s="35" t="s">
        <v>157</v>
      </c>
      <c r="G40" s="35" t="s">
        <v>136</v>
      </c>
      <c r="H40" s="36" t="s">
        <v>501</v>
      </c>
      <c r="I40" s="10">
        <v>28</v>
      </c>
      <c r="J40" s="36" t="s">
        <v>502</v>
      </c>
    </row>
    <row r="41" spans="1:10" x14ac:dyDescent="0.2">
      <c r="A41" s="37">
        <v>8</v>
      </c>
      <c r="B41" s="38" t="s">
        <v>503</v>
      </c>
      <c r="C41" s="39" t="s">
        <v>164</v>
      </c>
      <c r="D41" s="40">
        <v>12</v>
      </c>
      <c r="E41" s="40">
        <v>60</v>
      </c>
      <c r="F41" s="39" t="s">
        <v>157</v>
      </c>
      <c r="G41" s="39" t="s">
        <v>136</v>
      </c>
      <c r="H41" s="41" t="s">
        <v>504</v>
      </c>
      <c r="I41" s="40">
        <v>26</v>
      </c>
      <c r="J41" s="41" t="s">
        <v>505</v>
      </c>
    </row>
    <row r="42" spans="1:10" x14ac:dyDescent="0.2">
      <c r="A42" s="42">
        <v>9</v>
      </c>
      <c r="B42" s="43" t="s">
        <v>506</v>
      </c>
      <c r="C42" s="35" t="s">
        <v>149</v>
      </c>
      <c r="D42" s="10">
        <v>12</v>
      </c>
      <c r="E42" s="10">
        <v>50</v>
      </c>
      <c r="F42" s="35" t="s">
        <v>157</v>
      </c>
      <c r="G42" s="35" t="s">
        <v>136</v>
      </c>
      <c r="H42" s="36" t="s">
        <v>507</v>
      </c>
      <c r="I42" s="10">
        <v>25</v>
      </c>
      <c r="J42" s="36" t="s">
        <v>508</v>
      </c>
    </row>
    <row r="43" spans="1:10" x14ac:dyDescent="0.2">
      <c r="A43" s="37">
        <v>10</v>
      </c>
      <c r="B43" s="38" t="s">
        <v>509</v>
      </c>
      <c r="C43" s="39" t="s">
        <v>77</v>
      </c>
      <c r="D43" s="40">
        <v>12</v>
      </c>
      <c r="E43" s="40">
        <v>32</v>
      </c>
      <c r="F43" s="39" t="s">
        <v>157</v>
      </c>
      <c r="G43" s="39" t="s">
        <v>136</v>
      </c>
      <c r="H43" s="41" t="s">
        <v>510</v>
      </c>
      <c r="I43" s="40">
        <v>25</v>
      </c>
      <c r="J43" s="41" t="s">
        <v>511</v>
      </c>
    </row>
    <row r="44" spans="1:10" x14ac:dyDescent="0.2">
      <c r="A44" s="42">
        <v>11</v>
      </c>
      <c r="B44" s="43" t="s">
        <v>512</v>
      </c>
      <c r="C44" s="35" t="s">
        <v>88</v>
      </c>
      <c r="D44" s="10">
        <v>9</v>
      </c>
      <c r="E44" s="10">
        <v>25</v>
      </c>
      <c r="F44" s="35" t="s">
        <v>513</v>
      </c>
      <c r="G44" s="35" t="s">
        <v>136</v>
      </c>
      <c r="H44" s="36" t="s">
        <v>451</v>
      </c>
      <c r="I44" s="10">
        <v>20</v>
      </c>
      <c r="J44" s="36" t="s">
        <v>514</v>
      </c>
    </row>
    <row r="46" spans="1:10" x14ac:dyDescent="0.2">
      <c r="A46" s="1" t="s">
        <v>515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ht="28" x14ac:dyDescent="0.2">
      <c r="A47" s="45" t="s">
        <v>126</v>
      </c>
      <c r="B47" s="45" t="s">
        <v>127</v>
      </c>
      <c r="C47" s="45" t="s">
        <v>28</v>
      </c>
      <c r="D47" s="45" t="s">
        <v>128</v>
      </c>
      <c r="E47" s="45" t="s">
        <v>129</v>
      </c>
      <c r="F47" s="45" t="s">
        <v>130</v>
      </c>
      <c r="G47" s="45" t="s">
        <v>131</v>
      </c>
      <c r="H47" s="45" t="s">
        <v>132</v>
      </c>
      <c r="I47" s="45" t="s">
        <v>133</v>
      </c>
      <c r="J47" s="45" t="s">
        <v>134</v>
      </c>
    </row>
    <row r="48" spans="1:10" x14ac:dyDescent="0.2">
      <c r="A48" s="16">
        <v>1</v>
      </c>
      <c r="B48" s="5" t="s">
        <v>87</v>
      </c>
      <c r="C48" s="35" t="s">
        <v>88</v>
      </c>
      <c r="D48" s="10">
        <v>13</v>
      </c>
      <c r="E48" s="10">
        <v>64</v>
      </c>
      <c r="F48" s="35" t="s">
        <v>135</v>
      </c>
      <c r="G48" s="35" t="s">
        <v>136</v>
      </c>
      <c r="H48" s="36" t="s">
        <v>516</v>
      </c>
      <c r="I48" s="10">
        <v>32</v>
      </c>
      <c r="J48" s="36" t="s">
        <v>517</v>
      </c>
    </row>
    <row r="49" spans="1:10" x14ac:dyDescent="0.2">
      <c r="A49" s="37">
        <v>2</v>
      </c>
      <c r="B49" s="38" t="s">
        <v>497</v>
      </c>
      <c r="C49" s="39" t="s">
        <v>73</v>
      </c>
      <c r="D49" s="40">
        <v>12</v>
      </c>
      <c r="E49" s="40">
        <v>42</v>
      </c>
      <c r="F49" s="39" t="s">
        <v>157</v>
      </c>
      <c r="G49" s="39" t="s">
        <v>298</v>
      </c>
      <c r="H49" s="41" t="s">
        <v>320</v>
      </c>
      <c r="I49" s="40">
        <v>28</v>
      </c>
      <c r="J49" s="41" t="s">
        <v>517</v>
      </c>
    </row>
    <row r="50" spans="1:10" x14ac:dyDescent="0.2">
      <c r="A50" s="42">
        <v>3</v>
      </c>
      <c r="B50" s="43" t="s">
        <v>509</v>
      </c>
      <c r="C50" s="35" t="s">
        <v>77</v>
      </c>
      <c r="D50" s="10">
        <v>12</v>
      </c>
      <c r="E50" s="10">
        <v>32</v>
      </c>
      <c r="F50" s="35" t="s">
        <v>157</v>
      </c>
      <c r="G50" s="35" t="s">
        <v>136</v>
      </c>
      <c r="H50" s="36" t="s">
        <v>518</v>
      </c>
      <c r="I50" s="10">
        <v>25</v>
      </c>
      <c r="J50" s="36" t="s">
        <v>517</v>
      </c>
    </row>
    <row r="51" spans="1:10" x14ac:dyDescent="0.2">
      <c r="A51" s="37">
        <v>4</v>
      </c>
      <c r="B51" s="38" t="s">
        <v>519</v>
      </c>
      <c r="C51" s="39" t="s">
        <v>73</v>
      </c>
      <c r="D51" s="40">
        <v>12</v>
      </c>
      <c r="E51" s="40">
        <v>45</v>
      </c>
      <c r="F51" s="39" t="s">
        <v>135</v>
      </c>
      <c r="G51" s="39" t="s">
        <v>298</v>
      </c>
      <c r="H51" s="41" t="s">
        <v>520</v>
      </c>
      <c r="I51" s="40">
        <v>22</v>
      </c>
      <c r="J51" s="41" t="s">
        <v>521</v>
      </c>
    </row>
    <row r="52" spans="1:10" x14ac:dyDescent="0.2">
      <c r="A52" s="42">
        <v>5</v>
      </c>
      <c r="B52" s="43" t="s">
        <v>522</v>
      </c>
      <c r="C52" s="35" t="s">
        <v>40</v>
      </c>
      <c r="D52" s="10">
        <v>10</v>
      </c>
      <c r="E52" s="10">
        <v>41</v>
      </c>
      <c r="F52" s="35" t="s">
        <v>157</v>
      </c>
      <c r="G52" s="35" t="s">
        <v>136</v>
      </c>
      <c r="H52" s="36" t="s">
        <v>523</v>
      </c>
      <c r="I52" s="10">
        <v>18</v>
      </c>
      <c r="J52" s="36" t="s">
        <v>524</v>
      </c>
    </row>
    <row r="53" spans="1:10" x14ac:dyDescent="0.2">
      <c r="A53" s="37">
        <v>6</v>
      </c>
      <c r="B53" s="38" t="s">
        <v>525</v>
      </c>
      <c r="C53" s="39" t="s">
        <v>84</v>
      </c>
      <c r="D53" s="40">
        <v>10</v>
      </c>
      <c r="E53" s="40">
        <v>47</v>
      </c>
      <c r="F53" s="39" t="s">
        <v>135</v>
      </c>
      <c r="G53" s="39" t="s">
        <v>136</v>
      </c>
      <c r="H53" s="41" t="s">
        <v>526</v>
      </c>
      <c r="I53" s="40">
        <v>18</v>
      </c>
      <c r="J53" s="41" t="s">
        <v>527</v>
      </c>
    </row>
    <row r="54" spans="1:10" x14ac:dyDescent="0.2">
      <c r="A54" s="42">
        <v>7</v>
      </c>
      <c r="B54" s="43" t="s">
        <v>528</v>
      </c>
      <c r="C54" s="35" t="s">
        <v>149</v>
      </c>
      <c r="D54" s="10">
        <v>10</v>
      </c>
      <c r="E54" s="10">
        <v>43</v>
      </c>
      <c r="F54" s="35" t="s">
        <v>135</v>
      </c>
      <c r="G54" s="35" t="s">
        <v>136</v>
      </c>
      <c r="H54" s="36" t="s">
        <v>529</v>
      </c>
      <c r="I54" s="10">
        <v>18</v>
      </c>
      <c r="J54" s="36" t="s">
        <v>530</v>
      </c>
    </row>
    <row r="55" spans="1:10" x14ac:dyDescent="0.2">
      <c r="A55" s="37">
        <v>8</v>
      </c>
      <c r="B55" s="38" t="s">
        <v>531</v>
      </c>
      <c r="C55" s="39" t="s">
        <v>84</v>
      </c>
      <c r="D55" s="40">
        <v>11</v>
      </c>
      <c r="E55" s="40">
        <v>54</v>
      </c>
      <c r="F55" s="39" t="s">
        <v>135</v>
      </c>
      <c r="G55" s="39" t="s">
        <v>136</v>
      </c>
      <c r="H55" s="41" t="s">
        <v>454</v>
      </c>
      <c r="I55" s="40">
        <v>18</v>
      </c>
      <c r="J55" s="41" t="s">
        <v>532</v>
      </c>
    </row>
    <row r="56" spans="1:10" x14ac:dyDescent="0.2">
      <c r="A56" s="42">
        <v>9</v>
      </c>
      <c r="B56" s="43" t="s">
        <v>533</v>
      </c>
      <c r="C56" s="35" t="s">
        <v>61</v>
      </c>
      <c r="D56" s="10">
        <v>11</v>
      </c>
      <c r="E56" s="10">
        <v>37</v>
      </c>
      <c r="F56" s="35" t="s">
        <v>157</v>
      </c>
      <c r="G56" s="35" t="s">
        <v>136</v>
      </c>
      <c r="H56" s="36" t="s">
        <v>534</v>
      </c>
      <c r="I56" s="10">
        <v>16</v>
      </c>
      <c r="J56" s="36" t="s">
        <v>535</v>
      </c>
    </row>
    <row r="57" spans="1:10" x14ac:dyDescent="0.2">
      <c r="A57" s="37">
        <v>10</v>
      </c>
      <c r="B57" s="38" t="s">
        <v>536</v>
      </c>
      <c r="C57" s="39" t="s">
        <v>57</v>
      </c>
      <c r="D57" s="40">
        <v>11</v>
      </c>
      <c r="E57" s="40">
        <v>30</v>
      </c>
      <c r="F57" s="39" t="s">
        <v>157</v>
      </c>
      <c r="G57" s="39" t="s">
        <v>136</v>
      </c>
      <c r="H57" s="41" t="s">
        <v>537</v>
      </c>
      <c r="I57" s="40">
        <v>16</v>
      </c>
      <c r="J57" s="41" t="s">
        <v>538</v>
      </c>
    </row>
    <row r="58" spans="1:10" x14ac:dyDescent="0.2">
      <c r="A58" s="42">
        <v>11</v>
      </c>
      <c r="B58" s="43" t="s">
        <v>539</v>
      </c>
      <c r="C58" s="35" t="s">
        <v>164</v>
      </c>
      <c r="D58" s="10">
        <v>17</v>
      </c>
      <c r="E58" s="10">
        <v>68</v>
      </c>
      <c r="F58" s="35" t="s">
        <v>135</v>
      </c>
      <c r="G58" s="35" t="s">
        <v>136</v>
      </c>
      <c r="H58" s="36" t="s">
        <v>540</v>
      </c>
      <c r="I58" s="10">
        <v>16</v>
      </c>
      <c r="J58" s="36" t="s">
        <v>541</v>
      </c>
    </row>
    <row r="60" spans="1:10" x14ac:dyDescent="0.2">
      <c r="A60" s="1" t="s">
        <v>542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ht="28" x14ac:dyDescent="0.2">
      <c r="A61" s="45" t="s">
        <v>126</v>
      </c>
      <c r="B61" s="45" t="s">
        <v>127</v>
      </c>
      <c r="C61" s="45" t="s">
        <v>28</v>
      </c>
      <c r="D61" s="45" t="s">
        <v>128</v>
      </c>
      <c r="E61" s="45" t="s">
        <v>129</v>
      </c>
      <c r="F61" s="45" t="s">
        <v>130</v>
      </c>
      <c r="G61" s="45" t="s">
        <v>131</v>
      </c>
      <c r="H61" s="45" t="s">
        <v>132</v>
      </c>
      <c r="I61" s="45" t="s">
        <v>133</v>
      </c>
      <c r="J61" s="45" t="s">
        <v>134</v>
      </c>
    </row>
    <row r="62" spans="1:10" x14ac:dyDescent="0.2">
      <c r="A62" s="16">
        <v>1</v>
      </c>
      <c r="B62" s="5" t="s">
        <v>91</v>
      </c>
      <c r="C62" s="35" t="s">
        <v>73</v>
      </c>
      <c r="D62" s="10">
        <v>9</v>
      </c>
      <c r="E62" s="10">
        <v>32</v>
      </c>
      <c r="F62" s="35" t="s">
        <v>157</v>
      </c>
      <c r="G62" s="35" t="s">
        <v>136</v>
      </c>
      <c r="H62" s="36" t="s">
        <v>543</v>
      </c>
      <c r="I62" s="10">
        <v>15</v>
      </c>
      <c r="J62" s="36" t="s">
        <v>544</v>
      </c>
    </row>
    <row r="63" spans="1:10" x14ac:dyDescent="0.2">
      <c r="A63" s="37">
        <v>2</v>
      </c>
      <c r="B63" s="38" t="s">
        <v>545</v>
      </c>
      <c r="C63" s="39" t="s">
        <v>61</v>
      </c>
      <c r="D63" s="40">
        <v>8</v>
      </c>
      <c r="E63" s="40">
        <v>22</v>
      </c>
      <c r="F63" s="39" t="s">
        <v>157</v>
      </c>
      <c r="G63" s="39" t="s">
        <v>136</v>
      </c>
      <c r="H63" s="41" t="s">
        <v>546</v>
      </c>
      <c r="I63" s="40">
        <v>14</v>
      </c>
      <c r="J63" s="41" t="s">
        <v>547</v>
      </c>
    </row>
    <row r="64" spans="1:10" x14ac:dyDescent="0.2">
      <c r="A64" s="42">
        <v>3</v>
      </c>
      <c r="B64" s="43" t="s">
        <v>548</v>
      </c>
      <c r="C64" s="35" t="s">
        <v>40</v>
      </c>
      <c r="D64" s="10">
        <v>8</v>
      </c>
      <c r="E64" s="10">
        <v>26</v>
      </c>
      <c r="F64" s="35" t="s">
        <v>157</v>
      </c>
      <c r="G64" s="35" t="s">
        <v>136</v>
      </c>
      <c r="H64" s="36" t="s">
        <v>549</v>
      </c>
      <c r="I64" s="10">
        <v>13</v>
      </c>
      <c r="J64" s="36" t="s">
        <v>550</v>
      </c>
    </row>
    <row r="65" spans="1:10" x14ac:dyDescent="0.2">
      <c r="A65" s="37">
        <v>4</v>
      </c>
      <c r="B65" s="38" t="s">
        <v>551</v>
      </c>
      <c r="C65" s="39" t="s">
        <v>61</v>
      </c>
      <c r="D65" s="40">
        <v>8</v>
      </c>
      <c r="E65" s="40">
        <v>25</v>
      </c>
      <c r="F65" s="39" t="s">
        <v>157</v>
      </c>
      <c r="G65" s="39" t="s">
        <v>136</v>
      </c>
      <c r="H65" s="41" t="s">
        <v>552</v>
      </c>
      <c r="I65" s="40">
        <v>13</v>
      </c>
      <c r="J65" s="41" t="s">
        <v>553</v>
      </c>
    </row>
    <row r="66" spans="1:10" x14ac:dyDescent="0.2">
      <c r="A66" s="42">
        <v>5</v>
      </c>
      <c r="B66" s="43" t="s">
        <v>554</v>
      </c>
      <c r="C66" s="35" t="s">
        <v>61</v>
      </c>
      <c r="D66" s="10">
        <v>9</v>
      </c>
      <c r="E66" s="10">
        <v>21</v>
      </c>
      <c r="F66" s="35" t="s">
        <v>157</v>
      </c>
      <c r="G66" s="35" t="s">
        <v>298</v>
      </c>
      <c r="H66" s="36" t="s">
        <v>555</v>
      </c>
      <c r="I66" s="10">
        <v>12</v>
      </c>
      <c r="J66" s="36" t="s">
        <v>556</v>
      </c>
    </row>
    <row r="67" spans="1:10" x14ac:dyDescent="0.2">
      <c r="A67" s="37">
        <v>6</v>
      </c>
      <c r="B67" s="38" t="s">
        <v>94</v>
      </c>
      <c r="C67" s="39" t="s">
        <v>95</v>
      </c>
      <c r="D67" s="40">
        <v>10</v>
      </c>
      <c r="E67" s="40">
        <v>41</v>
      </c>
      <c r="F67" s="39" t="s">
        <v>135</v>
      </c>
      <c r="G67" s="39" t="s">
        <v>136</v>
      </c>
      <c r="H67" s="41" t="s">
        <v>557</v>
      </c>
      <c r="I67" s="40">
        <v>14</v>
      </c>
      <c r="J67" s="41" t="s">
        <v>558</v>
      </c>
    </row>
    <row r="68" spans="1:10" x14ac:dyDescent="0.2">
      <c r="A68" s="42">
        <v>7</v>
      </c>
      <c r="B68" s="43" t="s">
        <v>559</v>
      </c>
      <c r="C68" s="35" t="s">
        <v>164</v>
      </c>
      <c r="D68" s="10">
        <v>6</v>
      </c>
      <c r="E68" s="10">
        <v>18</v>
      </c>
      <c r="F68" s="35" t="s">
        <v>165</v>
      </c>
      <c r="G68" s="35" t="s">
        <v>136</v>
      </c>
      <c r="H68" s="36" t="s">
        <v>560</v>
      </c>
      <c r="I68" s="10">
        <v>10</v>
      </c>
      <c r="J68" s="36" t="s">
        <v>561</v>
      </c>
    </row>
    <row r="69" spans="1:10" x14ac:dyDescent="0.2">
      <c r="A69" s="37">
        <v>8</v>
      </c>
      <c r="B69" s="38" t="s">
        <v>562</v>
      </c>
      <c r="C69" s="39" t="s">
        <v>185</v>
      </c>
      <c r="D69" s="40">
        <v>10</v>
      </c>
      <c r="E69" s="40">
        <v>41</v>
      </c>
      <c r="F69" s="39" t="s">
        <v>135</v>
      </c>
      <c r="G69" s="39" t="s">
        <v>136</v>
      </c>
      <c r="H69" s="41" t="s">
        <v>563</v>
      </c>
      <c r="I69" s="40">
        <v>14</v>
      </c>
      <c r="J69" s="41" t="s">
        <v>564</v>
      </c>
    </row>
    <row r="70" spans="1:10" x14ac:dyDescent="0.2">
      <c r="A70" s="42">
        <v>9</v>
      </c>
      <c r="B70" s="43" t="s">
        <v>565</v>
      </c>
      <c r="C70" s="35" t="s">
        <v>44</v>
      </c>
      <c r="D70" s="10">
        <v>10</v>
      </c>
      <c r="E70" s="10">
        <v>37</v>
      </c>
      <c r="F70" s="35" t="s">
        <v>135</v>
      </c>
      <c r="G70" s="35" t="s">
        <v>136</v>
      </c>
      <c r="H70" s="36" t="s">
        <v>566</v>
      </c>
      <c r="I70" s="10">
        <v>13</v>
      </c>
      <c r="J70" s="36" t="s">
        <v>567</v>
      </c>
    </row>
    <row r="71" spans="1:10" x14ac:dyDescent="0.2">
      <c r="A71" s="37">
        <v>10</v>
      </c>
      <c r="B71" s="38" t="s">
        <v>568</v>
      </c>
      <c r="C71" s="39" t="s">
        <v>36</v>
      </c>
      <c r="D71" s="40">
        <v>10</v>
      </c>
      <c r="E71" s="40">
        <v>42</v>
      </c>
      <c r="F71" s="39" t="s">
        <v>135</v>
      </c>
      <c r="G71" s="39" t="s">
        <v>136</v>
      </c>
      <c r="H71" s="41" t="s">
        <v>325</v>
      </c>
      <c r="I71" s="40">
        <v>13</v>
      </c>
      <c r="J71" s="41" t="s">
        <v>569</v>
      </c>
    </row>
    <row r="72" spans="1:10" x14ac:dyDescent="0.2">
      <c r="A72" s="42">
        <v>11</v>
      </c>
      <c r="B72" s="43" t="s">
        <v>570</v>
      </c>
      <c r="C72" s="35" t="s">
        <v>36</v>
      </c>
      <c r="D72" s="10">
        <v>10</v>
      </c>
      <c r="E72" s="10">
        <v>28</v>
      </c>
      <c r="F72" s="35" t="s">
        <v>165</v>
      </c>
      <c r="G72" s="35" t="s">
        <v>136</v>
      </c>
      <c r="H72" s="36" t="s">
        <v>571</v>
      </c>
      <c r="I72" s="10">
        <v>10</v>
      </c>
      <c r="J72" s="36" t="s">
        <v>572</v>
      </c>
    </row>
    <row r="74" spans="1:10" x14ac:dyDescent="0.2">
      <c r="A74" s="1" t="s">
        <v>573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ht="28" x14ac:dyDescent="0.2">
      <c r="A75" s="45" t="s">
        <v>126</v>
      </c>
      <c r="B75" s="45" t="s">
        <v>127</v>
      </c>
      <c r="C75" s="45" t="s">
        <v>28</v>
      </c>
      <c r="D75" s="45" t="s">
        <v>128</v>
      </c>
      <c r="E75" s="45" t="s">
        <v>129</v>
      </c>
      <c r="F75" s="45" t="s">
        <v>130</v>
      </c>
      <c r="G75" s="45" t="s">
        <v>131</v>
      </c>
      <c r="H75" s="45" t="s">
        <v>132</v>
      </c>
      <c r="I75" s="45" t="s">
        <v>133</v>
      </c>
      <c r="J75" s="45" t="s">
        <v>134</v>
      </c>
    </row>
    <row r="76" spans="1:10" x14ac:dyDescent="0.2">
      <c r="A76" s="16">
        <v>1</v>
      </c>
      <c r="B76" s="5" t="s">
        <v>94</v>
      </c>
      <c r="C76" s="35" t="s">
        <v>95</v>
      </c>
      <c r="D76" s="10">
        <v>10</v>
      </c>
      <c r="E76" s="10">
        <v>41</v>
      </c>
      <c r="F76" s="35" t="s">
        <v>135</v>
      </c>
      <c r="G76" s="35" t="s">
        <v>136</v>
      </c>
      <c r="H76" s="36" t="s">
        <v>574</v>
      </c>
      <c r="I76" s="10">
        <v>14</v>
      </c>
      <c r="J76" s="36" t="s">
        <v>575</v>
      </c>
    </row>
    <row r="77" spans="1:10" x14ac:dyDescent="0.2">
      <c r="A77" s="37">
        <v>2</v>
      </c>
      <c r="B77" s="38" t="s">
        <v>562</v>
      </c>
      <c r="C77" s="39" t="s">
        <v>185</v>
      </c>
      <c r="D77" s="40">
        <v>10</v>
      </c>
      <c r="E77" s="40">
        <v>41</v>
      </c>
      <c r="F77" s="39" t="s">
        <v>135</v>
      </c>
      <c r="G77" s="39" t="s">
        <v>136</v>
      </c>
      <c r="H77" s="41" t="s">
        <v>576</v>
      </c>
      <c r="I77" s="40">
        <v>14</v>
      </c>
      <c r="J77" s="41" t="s">
        <v>575</v>
      </c>
    </row>
    <row r="78" spans="1:10" x14ac:dyDescent="0.2">
      <c r="A78" s="42">
        <v>3</v>
      </c>
      <c r="B78" s="43" t="s">
        <v>577</v>
      </c>
      <c r="C78" s="35" t="s">
        <v>153</v>
      </c>
      <c r="D78" s="10">
        <v>9</v>
      </c>
      <c r="E78" s="10">
        <v>28</v>
      </c>
      <c r="F78" s="35" t="s">
        <v>135</v>
      </c>
      <c r="G78" s="35" t="s">
        <v>298</v>
      </c>
      <c r="H78" s="36" t="s">
        <v>578</v>
      </c>
      <c r="I78" s="10">
        <v>12</v>
      </c>
      <c r="J78" s="36" t="s">
        <v>579</v>
      </c>
    </row>
    <row r="79" spans="1:10" x14ac:dyDescent="0.2">
      <c r="A79" s="37">
        <v>4</v>
      </c>
      <c r="B79" s="38" t="s">
        <v>580</v>
      </c>
      <c r="C79" s="39" t="s">
        <v>153</v>
      </c>
      <c r="D79" s="40">
        <v>8</v>
      </c>
      <c r="E79" s="40">
        <v>25</v>
      </c>
      <c r="F79" s="39" t="s">
        <v>157</v>
      </c>
      <c r="G79" s="39" t="s">
        <v>136</v>
      </c>
      <c r="H79" s="41" t="s">
        <v>581</v>
      </c>
      <c r="I79" s="40">
        <v>11</v>
      </c>
      <c r="J79" s="41" t="s">
        <v>582</v>
      </c>
    </row>
    <row r="80" spans="1:10" x14ac:dyDescent="0.2">
      <c r="A80" s="42">
        <v>5</v>
      </c>
      <c r="B80" s="43" t="s">
        <v>568</v>
      </c>
      <c r="C80" s="35" t="s">
        <v>36</v>
      </c>
      <c r="D80" s="10">
        <v>10</v>
      </c>
      <c r="E80" s="10">
        <v>42</v>
      </c>
      <c r="F80" s="35" t="s">
        <v>135</v>
      </c>
      <c r="G80" s="35" t="s">
        <v>136</v>
      </c>
      <c r="H80" s="36" t="s">
        <v>36</v>
      </c>
      <c r="I80" s="10">
        <v>13</v>
      </c>
      <c r="J80" s="36" t="s">
        <v>575</v>
      </c>
    </row>
    <row r="81" spans="1:10" x14ac:dyDescent="0.2">
      <c r="A81" s="37">
        <v>6</v>
      </c>
      <c r="B81" s="38" t="s">
        <v>565</v>
      </c>
      <c r="C81" s="39" t="s">
        <v>44</v>
      </c>
      <c r="D81" s="40">
        <v>10</v>
      </c>
      <c r="E81" s="40">
        <v>37</v>
      </c>
      <c r="F81" s="39" t="s">
        <v>135</v>
      </c>
      <c r="G81" s="39" t="s">
        <v>136</v>
      </c>
      <c r="H81" s="41" t="s">
        <v>44</v>
      </c>
      <c r="I81" s="40">
        <v>13</v>
      </c>
      <c r="J81" s="41" t="s">
        <v>575</v>
      </c>
    </row>
    <row r="82" spans="1:10" x14ac:dyDescent="0.2">
      <c r="A82" s="42">
        <v>7</v>
      </c>
      <c r="B82" s="43" t="s">
        <v>583</v>
      </c>
      <c r="C82" s="35" t="s">
        <v>77</v>
      </c>
      <c r="D82" s="10">
        <v>10</v>
      </c>
      <c r="E82" s="10">
        <v>38</v>
      </c>
      <c r="F82" s="35" t="s">
        <v>135</v>
      </c>
      <c r="G82" s="35" t="s">
        <v>136</v>
      </c>
      <c r="H82" s="36" t="s">
        <v>584</v>
      </c>
      <c r="I82" s="10">
        <v>11</v>
      </c>
      <c r="J82" s="36" t="s">
        <v>585</v>
      </c>
    </row>
    <row r="83" spans="1:10" x14ac:dyDescent="0.2">
      <c r="A83" s="37">
        <v>8</v>
      </c>
      <c r="B83" s="38" t="s">
        <v>98</v>
      </c>
      <c r="C83" s="39" t="s">
        <v>99</v>
      </c>
      <c r="D83" s="40">
        <v>5</v>
      </c>
      <c r="E83" s="40">
        <v>16</v>
      </c>
      <c r="F83" s="39" t="s">
        <v>135</v>
      </c>
      <c r="G83" s="39" t="s">
        <v>586</v>
      </c>
      <c r="H83" s="41" t="s">
        <v>587</v>
      </c>
      <c r="I83" s="40">
        <v>10</v>
      </c>
      <c r="J83" s="41" t="s">
        <v>588</v>
      </c>
    </row>
    <row r="84" spans="1:10" x14ac:dyDescent="0.2">
      <c r="A84" s="42">
        <v>9</v>
      </c>
      <c r="B84" s="43" t="s">
        <v>589</v>
      </c>
      <c r="C84" s="35" t="s">
        <v>185</v>
      </c>
      <c r="D84" s="10">
        <v>6</v>
      </c>
      <c r="E84" s="10">
        <v>20</v>
      </c>
      <c r="F84" s="35" t="s">
        <v>135</v>
      </c>
      <c r="G84" s="35" t="s">
        <v>136</v>
      </c>
      <c r="H84" s="36" t="s">
        <v>590</v>
      </c>
      <c r="I84" s="10">
        <v>8</v>
      </c>
      <c r="J84" s="36" t="s">
        <v>591</v>
      </c>
    </row>
    <row r="85" spans="1:10" x14ac:dyDescent="0.2">
      <c r="A85" s="37">
        <v>10</v>
      </c>
      <c r="B85" s="38" t="s">
        <v>592</v>
      </c>
      <c r="C85" s="39" t="s">
        <v>65</v>
      </c>
      <c r="D85" s="40">
        <v>5</v>
      </c>
      <c r="E85" s="40">
        <v>15</v>
      </c>
      <c r="F85" s="39" t="s">
        <v>135</v>
      </c>
      <c r="G85" s="39" t="s">
        <v>136</v>
      </c>
      <c r="H85" s="41" t="s">
        <v>590</v>
      </c>
      <c r="I85" s="40">
        <v>8</v>
      </c>
      <c r="J85" s="41" t="s">
        <v>593</v>
      </c>
    </row>
    <row r="86" spans="1:10" x14ac:dyDescent="0.2">
      <c r="A86" s="42">
        <v>11</v>
      </c>
      <c r="B86" s="43" t="s">
        <v>594</v>
      </c>
      <c r="C86" s="35" t="s">
        <v>61</v>
      </c>
      <c r="D86" s="10">
        <v>4</v>
      </c>
      <c r="E86" s="10">
        <v>10</v>
      </c>
      <c r="F86" s="35" t="s">
        <v>157</v>
      </c>
      <c r="G86" s="35" t="s">
        <v>136</v>
      </c>
      <c r="H86" s="36" t="s">
        <v>595</v>
      </c>
      <c r="I86" s="10">
        <v>6</v>
      </c>
      <c r="J86" s="36" t="s">
        <v>596</v>
      </c>
    </row>
    <row r="88" spans="1:10" x14ac:dyDescent="0.2">
      <c r="A88" s="1" t="s">
        <v>597</v>
      </c>
      <c r="B88" s="1"/>
      <c r="C88" s="1"/>
      <c r="D88" s="1"/>
      <c r="E88" s="1"/>
      <c r="F88" s="1"/>
      <c r="G88" s="1"/>
      <c r="H88" s="1"/>
      <c r="I88" s="1"/>
      <c r="J88" s="1"/>
    </row>
    <row r="89" spans="1:10" ht="28" x14ac:dyDescent="0.2">
      <c r="A89" s="45" t="s">
        <v>126</v>
      </c>
      <c r="B89" s="45" t="s">
        <v>127</v>
      </c>
      <c r="C89" s="45" t="s">
        <v>28</v>
      </c>
      <c r="D89" s="45" t="s">
        <v>128</v>
      </c>
      <c r="E89" s="45" t="s">
        <v>129</v>
      </c>
      <c r="F89" s="45" t="s">
        <v>130</v>
      </c>
      <c r="G89" s="45" t="s">
        <v>131</v>
      </c>
      <c r="H89" s="45" t="s">
        <v>132</v>
      </c>
      <c r="I89" s="45" t="s">
        <v>133</v>
      </c>
      <c r="J89" s="45" t="s">
        <v>134</v>
      </c>
    </row>
    <row r="90" spans="1:10" x14ac:dyDescent="0.2">
      <c r="A90" s="16">
        <v>1</v>
      </c>
      <c r="B90" s="5" t="s">
        <v>98</v>
      </c>
      <c r="C90" s="35" t="s">
        <v>99</v>
      </c>
      <c r="D90" s="10">
        <v>5</v>
      </c>
      <c r="E90" s="10">
        <v>16</v>
      </c>
      <c r="F90" s="35" t="s">
        <v>135</v>
      </c>
      <c r="G90" s="35" t="s">
        <v>586</v>
      </c>
      <c r="H90" s="36" t="s">
        <v>598</v>
      </c>
      <c r="I90" s="10">
        <v>10</v>
      </c>
      <c r="J90" s="36" t="s">
        <v>599</v>
      </c>
    </row>
    <row r="91" spans="1:10" x14ac:dyDescent="0.2">
      <c r="A91" s="37">
        <v>2</v>
      </c>
      <c r="B91" s="38" t="s">
        <v>600</v>
      </c>
      <c r="C91" s="39" t="s">
        <v>206</v>
      </c>
      <c r="D91" s="40">
        <v>7</v>
      </c>
      <c r="E91" s="40">
        <v>20</v>
      </c>
      <c r="F91" s="39" t="s">
        <v>135</v>
      </c>
      <c r="G91" s="39" t="s">
        <v>443</v>
      </c>
      <c r="H91" s="41" t="s">
        <v>601</v>
      </c>
      <c r="I91" s="40">
        <v>10</v>
      </c>
      <c r="J91" s="41" t="s">
        <v>602</v>
      </c>
    </row>
    <row r="92" spans="1:10" x14ac:dyDescent="0.2">
      <c r="A92" s="42">
        <v>3</v>
      </c>
      <c r="B92" s="43" t="s">
        <v>603</v>
      </c>
      <c r="C92" s="35" t="s">
        <v>65</v>
      </c>
      <c r="D92" s="10">
        <v>7</v>
      </c>
      <c r="E92" s="10">
        <v>36</v>
      </c>
      <c r="F92" s="35" t="s">
        <v>135</v>
      </c>
      <c r="G92" s="35" t="s">
        <v>298</v>
      </c>
      <c r="H92" s="36" t="s">
        <v>299</v>
      </c>
      <c r="I92" s="10">
        <v>10</v>
      </c>
      <c r="J92" s="36" t="s">
        <v>604</v>
      </c>
    </row>
    <row r="93" spans="1:10" x14ac:dyDescent="0.2">
      <c r="A93" s="37">
        <v>4</v>
      </c>
      <c r="B93" s="38" t="s">
        <v>605</v>
      </c>
      <c r="C93" s="39" t="s">
        <v>77</v>
      </c>
      <c r="D93" s="40">
        <v>5</v>
      </c>
      <c r="E93" s="40">
        <v>14</v>
      </c>
      <c r="F93" s="39" t="s">
        <v>157</v>
      </c>
      <c r="G93" s="39" t="s">
        <v>136</v>
      </c>
      <c r="H93" s="41" t="s">
        <v>606</v>
      </c>
      <c r="I93" s="40">
        <v>7</v>
      </c>
      <c r="J93" s="41" t="s">
        <v>607</v>
      </c>
    </row>
    <row r="94" spans="1:10" x14ac:dyDescent="0.2">
      <c r="A94" s="42">
        <v>5</v>
      </c>
      <c r="B94" s="43" t="s">
        <v>608</v>
      </c>
      <c r="C94" s="35" t="s">
        <v>199</v>
      </c>
      <c r="D94" s="10">
        <v>6</v>
      </c>
      <c r="E94" s="10">
        <v>19</v>
      </c>
      <c r="F94" s="35" t="s">
        <v>135</v>
      </c>
      <c r="G94" s="35" t="s">
        <v>136</v>
      </c>
      <c r="H94" s="36" t="s">
        <v>609</v>
      </c>
      <c r="I94" s="10">
        <v>7</v>
      </c>
      <c r="J94" s="36" t="s">
        <v>610</v>
      </c>
    </row>
    <row r="95" spans="1:10" x14ac:dyDescent="0.2">
      <c r="A95" s="37">
        <v>6</v>
      </c>
      <c r="B95" s="38" t="s">
        <v>611</v>
      </c>
      <c r="C95" s="39" t="s">
        <v>199</v>
      </c>
      <c r="D95" s="40">
        <v>5</v>
      </c>
      <c r="E95" s="40">
        <v>14</v>
      </c>
      <c r="F95" s="39" t="s">
        <v>135</v>
      </c>
      <c r="G95" s="39" t="s">
        <v>136</v>
      </c>
      <c r="H95" s="41" t="s">
        <v>612</v>
      </c>
      <c r="I95" s="40">
        <v>7</v>
      </c>
      <c r="J95" s="41" t="s">
        <v>613</v>
      </c>
    </row>
    <row r="96" spans="1:10" x14ac:dyDescent="0.2">
      <c r="A96" s="42">
        <v>7</v>
      </c>
      <c r="B96" s="43" t="s">
        <v>592</v>
      </c>
      <c r="C96" s="35" t="s">
        <v>65</v>
      </c>
      <c r="D96" s="10">
        <v>5</v>
      </c>
      <c r="E96" s="10">
        <v>15</v>
      </c>
      <c r="F96" s="35" t="s">
        <v>135</v>
      </c>
      <c r="G96" s="35" t="s">
        <v>136</v>
      </c>
      <c r="H96" s="36" t="s">
        <v>65</v>
      </c>
      <c r="I96" s="10">
        <v>8</v>
      </c>
      <c r="J96" s="36" t="s">
        <v>599</v>
      </c>
    </row>
    <row r="97" spans="1:10" x14ac:dyDescent="0.2">
      <c r="A97" s="37">
        <v>8</v>
      </c>
      <c r="B97" s="38" t="s">
        <v>589</v>
      </c>
      <c r="C97" s="39" t="s">
        <v>185</v>
      </c>
      <c r="D97" s="40">
        <v>6</v>
      </c>
      <c r="E97" s="40">
        <v>20</v>
      </c>
      <c r="F97" s="39" t="s">
        <v>135</v>
      </c>
      <c r="G97" s="39" t="s">
        <v>136</v>
      </c>
      <c r="H97" s="41" t="s">
        <v>185</v>
      </c>
      <c r="I97" s="40">
        <v>8</v>
      </c>
      <c r="J97" s="41" t="s">
        <v>599</v>
      </c>
    </row>
    <row r="98" spans="1:10" x14ac:dyDescent="0.2">
      <c r="A98" s="42">
        <v>9</v>
      </c>
      <c r="B98" s="43" t="s">
        <v>614</v>
      </c>
      <c r="C98" s="35" t="s">
        <v>69</v>
      </c>
      <c r="D98" s="10">
        <v>7</v>
      </c>
      <c r="E98" s="10">
        <v>25</v>
      </c>
      <c r="F98" s="35" t="s">
        <v>135</v>
      </c>
      <c r="G98" s="35" t="s">
        <v>136</v>
      </c>
      <c r="H98" s="36" t="s">
        <v>615</v>
      </c>
      <c r="I98" s="10">
        <v>7</v>
      </c>
      <c r="J98" s="36" t="s">
        <v>616</v>
      </c>
    </row>
    <row r="99" spans="1:10" x14ac:dyDescent="0.2">
      <c r="A99" s="37">
        <v>10</v>
      </c>
      <c r="B99" s="38" t="s">
        <v>617</v>
      </c>
      <c r="C99" s="39" t="s">
        <v>199</v>
      </c>
      <c r="D99" s="40">
        <v>5</v>
      </c>
      <c r="E99" s="40">
        <v>14</v>
      </c>
      <c r="F99" s="39" t="s">
        <v>157</v>
      </c>
      <c r="G99" s="39" t="s">
        <v>136</v>
      </c>
      <c r="H99" s="41" t="s">
        <v>618</v>
      </c>
      <c r="I99" s="40">
        <v>6</v>
      </c>
      <c r="J99" s="41" t="s">
        <v>619</v>
      </c>
    </row>
    <row r="100" spans="1:10" x14ac:dyDescent="0.2">
      <c r="A100" s="42">
        <v>11</v>
      </c>
      <c r="B100" s="43" t="s">
        <v>620</v>
      </c>
      <c r="C100" s="35" t="s">
        <v>57</v>
      </c>
      <c r="D100" s="10">
        <v>5</v>
      </c>
      <c r="E100" s="10">
        <v>11</v>
      </c>
      <c r="F100" s="35" t="s">
        <v>157</v>
      </c>
      <c r="G100" s="35" t="s">
        <v>136</v>
      </c>
      <c r="H100" s="36" t="s">
        <v>621</v>
      </c>
      <c r="I100" s="10">
        <v>6</v>
      </c>
      <c r="J100" s="36" t="s">
        <v>622</v>
      </c>
    </row>
    <row r="102" spans="1:10" x14ac:dyDescent="0.2">
      <c r="A102" s="1" t="s">
        <v>623</v>
      </c>
      <c r="B102" s="1"/>
      <c r="C102" s="1"/>
      <c r="D102" s="1"/>
      <c r="E102" s="1"/>
      <c r="F102" s="1"/>
      <c r="G102" s="1"/>
      <c r="H102" s="1"/>
      <c r="I102" s="1"/>
      <c r="J102" s="1"/>
    </row>
    <row r="103" spans="1:10" ht="28" x14ac:dyDescent="0.2">
      <c r="A103" s="45" t="s">
        <v>126</v>
      </c>
      <c r="B103" s="45" t="s">
        <v>127</v>
      </c>
      <c r="C103" s="45" t="s">
        <v>28</v>
      </c>
      <c r="D103" s="45" t="s">
        <v>128</v>
      </c>
      <c r="E103" s="45" t="s">
        <v>129</v>
      </c>
      <c r="F103" s="45" t="s">
        <v>130</v>
      </c>
      <c r="G103" s="45" t="s">
        <v>131</v>
      </c>
      <c r="H103" s="45" t="s">
        <v>132</v>
      </c>
      <c r="I103" s="45" t="s">
        <v>133</v>
      </c>
      <c r="J103" s="45" t="s">
        <v>134</v>
      </c>
    </row>
    <row r="104" spans="1:10" x14ac:dyDescent="0.2">
      <c r="A104" s="16">
        <v>1</v>
      </c>
      <c r="B104" s="5" t="s">
        <v>102</v>
      </c>
      <c r="C104" s="35" t="s">
        <v>69</v>
      </c>
      <c r="D104" s="10">
        <v>4</v>
      </c>
      <c r="E104" s="10">
        <v>12</v>
      </c>
      <c r="F104" s="35" t="s">
        <v>157</v>
      </c>
      <c r="G104" s="35" t="s">
        <v>136</v>
      </c>
      <c r="H104" s="36" t="s">
        <v>624</v>
      </c>
      <c r="I104" s="10">
        <v>5</v>
      </c>
      <c r="J104" s="36" t="s">
        <v>625</v>
      </c>
    </row>
    <row r="105" spans="1:10" x14ac:dyDescent="0.2">
      <c r="A105" s="37">
        <v>2</v>
      </c>
      <c r="B105" s="38" t="s">
        <v>594</v>
      </c>
      <c r="C105" s="39" t="s">
        <v>61</v>
      </c>
      <c r="D105" s="40">
        <v>4</v>
      </c>
      <c r="E105" s="40">
        <v>10</v>
      </c>
      <c r="F105" s="39" t="s">
        <v>157</v>
      </c>
      <c r="G105" s="39" t="s">
        <v>136</v>
      </c>
      <c r="H105" s="41" t="s">
        <v>626</v>
      </c>
      <c r="I105" s="40">
        <v>6</v>
      </c>
      <c r="J105" s="41" t="s">
        <v>599</v>
      </c>
    </row>
    <row r="106" spans="1:10" x14ac:dyDescent="0.2">
      <c r="A106" s="42">
        <v>3</v>
      </c>
      <c r="B106" s="43" t="s">
        <v>620</v>
      </c>
      <c r="C106" s="35" t="s">
        <v>57</v>
      </c>
      <c r="D106" s="10">
        <v>5</v>
      </c>
      <c r="E106" s="10">
        <v>11</v>
      </c>
      <c r="F106" s="35" t="s">
        <v>157</v>
      </c>
      <c r="G106" s="35" t="s">
        <v>136</v>
      </c>
      <c r="H106" s="36" t="s">
        <v>57</v>
      </c>
      <c r="I106" s="10">
        <v>6</v>
      </c>
      <c r="J106" s="36" t="s">
        <v>627</v>
      </c>
    </row>
    <row r="107" spans="1:10" x14ac:dyDescent="0.2">
      <c r="A107" s="37">
        <v>4</v>
      </c>
      <c r="B107" s="38" t="s">
        <v>614</v>
      </c>
      <c r="C107" s="39" t="s">
        <v>69</v>
      </c>
      <c r="D107" s="40">
        <v>7</v>
      </c>
      <c r="E107" s="40">
        <v>25</v>
      </c>
      <c r="F107" s="39" t="s">
        <v>135</v>
      </c>
      <c r="G107" s="39" t="s">
        <v>136</v>
      </c>
      <c r="H107" s="41" t="s">
        <v>69</v>
      </c>
      <c r="I107" s="40">
        <v>7</v>
      </c>
      <c r="J107" s="41" t="s">
        <v>627</v>
      </c>
    </row>
    <row r="108" spans="1:10" x14ac:dyDescent="0.2">
      <c r="A108" s="42">
        <v>5</v>
      </c>
      <c r="B108" s="43" t="s">
        <v>617</v>
      </c>
      <c r="C108" s="35" t="s">
        <v>199</v>
      </c>
      <c r="D108" s="10">
        <v>5</v>
      </c>
      <c r="E108" s="10">
        <v>14</v>
      </c>
      <c r="F108" s="35" t="s">
        <v>157</v>
      </c>
      <c r="G108" s="35" t="s">
        <v>136</v>
      </c>
      <c r="H108" s="36" t="s">
        <v>199</v>
      </c>
      <c r="I108" s="10">
        <v>6</v>
      </c>
      <c r="J108" s="36" t="s">
        <v>627</v>
      </c>
    </row>
    <row r="109" spans="1:10" x14ac:dyDescent="0.2">
      <c r="A109" s="37">
        <v>6</v>
      </c>
      <c r="B109" s="38" t="s">
        <v>605</v>
      </c>
      <c r="C109" s="39" t="s">
        <v>77</v>
      </c>
      <c r="D109" s="40">
        <v>5</v>
      </c>
      <c r="E109" s="40">
        <v>14</v>
      </c>
      <c r="F109" s="39" t="s">
        <v>157</v>
      </c>
      <c r="G109" s="39" t="s">
        <v>136</v>
      </c>
      <c r="H109" s="41" t="s">
        <v>77</v>
      </c>
      <c r="I109" s="40">
        <v>7</v>
      </c>
      <c r="J109" s="41" t="s">
        <v>627</v>
      </c>
    </row>
    <row r="110" spans="1:10" x14ac:dyDescent="0.2">
      <c r="A110" s="42">
        <v>7</v>
      </c>
      <c r="B110" s="43" t="s">
        <v>608</v>
      </c>
      <c r="C110" s="35" t="s">
        <v>199</v>
      </c>
      <c r="D110" s="10">
        <v>6</v>
      </c>
      <c r="E110" s="10">
        <v>19</v>
      </c>
      <c r="F110" s="35" t="s">
        <v>135</v>
      </c>
      <c r="G110" s="35" t="s">
        <v>136</v>
      </c>
      <c r="H110" s="36" t="s">
        <v>199</v>
      </c>
      <c r="I110" s="10">
        <v>7</v>
      </c>
      <c r="J110" s="36" t="s">
        <v>627</v>
      </c>
    </row>
    <row r="111" spans="1:10" x14ac:dyDescent="0.2">
      <c r="A111" s="37">
        <v>8</v>
      </c>
      <c r="B111" s="38" t="s">
        <v>611</v>
      </c>
      <c r="C111" s="39" t="s">
        <v>199</v>
      </c>
      <c r="D111" s="40">
        <v>5</v>
      </c>
      <c r="E111" s="40">
        <v>14</v>
      </c>
      <c r="F111" s="39" t="s">
        <v>135</v>
      </c>
      <c r="G111" s="39" t="s">
        <v>136</v>
      </c>
      <c r="H111" s="41" t="s">
        <v>199</v>
      </c>
      <c r="I111" s="40">
        <v>7</v>
      </c>
      <c r="J111" s="41" t="s">
        <v>627</v>
      </c>
    </row>
    <row r="112" spans="1:10" x14ac:dyDescent="0.2">
      <c r="A112" s="42">
        <v>9</v>
      </c>
      <c r="B112" s="43" t="s">
        <v>559</v>
      </c>
      <c r="C112" s="35" t="s">
        <v>164</v>
      </c>
      <c r="D112" s="10">
        <v>6</v>
      </c>
      <c r="E112" s="10">
        <v>18</v>
      </c>
      <c r="F112" s="35" t="s">
        <v>165</v>
      </c>
      <c r="G112" s="35" t="s">
        <v>136</v>
      </c>
      <c r="H112" s="36" t="s">
        <v>164</v>
      </c>
      <c r="I112" s="10">
        <v>10</v>
      </c>
      <c r="J112" s="36" t="s">
        <v>575</v>
      </c>
    </row>
    <row r="113" spans="1:10" x14ac:dyDescent="0.2">
      <c r="A113" s="37">
        <v>10</v>
      </c>
      <c r="B113" s="38" t="s">
        <v>512</v>
      </c>
      <c r="C113" s="39" t="s">
        <v>88</v>
      </c>
      <c r="D113" s="40">
        <v>9</v>
      </c>
      <c r="E113" s="40">
        <v>25</v>
      </c>
      <c r="F113" s="39" t="s">
        <v>513</v>
      </c>
      <c r="G113" s="39" t="s">
        <v>136</v>
      </c>
      <c r="H113" s="41" t="s">
        <v>88</v>
      </c>
      <c r="I113" s="40">
        <v>20</v>
      </c>
      <c r="J113" s="41" t="s">
        <v>628</v>
      </c>
    </row>
    <row r="114" spans="1:10" x14ac:dyDescent="0.2">
      <c r="A114" s="42">
        <v>11</v>
      </c>
      <c r="B114" s="43" t="s">
        <v>629</v>
      </c>
      <c r="C114" s="35" t="s">
        <v>40</v>
      </c>
      <c r="D114" s="10">
        <v>3</v>
      </c>
      <c r="E114" s="10">
        <v>10</v>
      </c>
      <c r="F114" s="35" t="s">
        <v>214</v>
      </c>
      <c r="G114" s="35" t="s">
        <v>136</v>
      </c>
      <c r="H114" s="36" t="s">
        <v>630</v>
      </c>
      <c r="I114" s="10">
        <v>2</v>
      </c>
      <c r="J114" s="36" t="s">
        <v>631</v>
      </c>
    </row>
  </sheetData>
  <mergeCells count="8">
    <mergeCell ref="A74:J74"/>
    <mergeCell ref="A88:J88"/>
    <mergeCell ref="A102:J102"/>
    <mergeCell ref="A4:J4"/>
    <mergeCell ref="A18:J18"/>
    <mergeCell ref="A32:J32"/>
    <mergeCell ref="A46:J46"/>
    <mergeCell ref="A60:J6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6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8" customWidth="1"/>
    <col min="3" max="3" width="11" customWidth="1"/>
    <col min="4" max="5" width="6" customWidth="1"/>
    <col min="6" max="7" width="16" customWidth="1"/>
    <col min="8" max="8" width="34" customWidth="1"/>
    <col min="9" max="9" width="9" customWidth="1"/>
    <col min="10" max="10" width="52" customWidth="1"/>
  </cols>
  <sheetData>
    <row r="1" spans="1:10" ht="18" x14ac:dyDescent="0.2">
      <c r="A1" s="33" t="s">
        <v>632</v>
      </c>
    </row>
    <row r="2" spans="1:10" x14ac:dyDescent="0.2">
      <c r="A2" s="4" t="s">
        <v>124</v>
      </c>
    </row>
    <row r="4" spans="1:10" x14ac:dyDescent="0.2">
      <c r="A4" s="1" t="s">
        <v>633</v>
      </c>
      <c r="B4" s="1"/>
      <c r="C4" s="1"/>
      <c r="D4" s="1"/>
      <c r="E4" s="1"/>
      <c r="F4" s="1"/>
      <c r="G4" s="1"/>
      <c r="H4" s="1"/>
      <c r="I4" s="1"/>
      <c r="J4" s="1"/>
    </row>
    <row r="5" spans="1:10" ht="28" x14ac:dyDescent="0.2">
      <c r="A5" s="46" t="s">
        <v>126</v>
      </c>
      <c r="B5" s="46" t="s">
        <v>127</v>
      </c>
      <c r="C5" s="46" t="s">
        <v>28</v>
      </c>
      <c r="D5" s="46" t="s">
        <v>128</v>
      </c>
      <c r="E5" s="46" t="s">
        <v>129</v>
      </c>
      <c r="F5" s="46" t="s">
        <v>130</v>
      </c>
      <c r="G5" s="46" t="s">
        <v>131</v>
      </c>
      <c r="H5" s="46" t="s">
        <v>132</v>
      </c>
      <c r="I5" s="46" t="s">
        <v>133</v>
      </c>
      <c r="J5" s="46" t="s">
        <v>134</v>
      </c>
    </row>
    <row r="6" spans="1:10" x14ac:dyDescent="0.2">
      <c r="A6" s="16">
        <v>1</v>
      </c>
      <c r="B6" s="5" t="s">
        <v>105</v>
      </c>
      <c r="C6" s="35" t="s">
        <v>40</v>
      </c>
      <c r="D6" s="10">
        <v>35</v>
      </c>
      <c r="E6" s="10">
        <v>370</v>
      </c>
      <c r="F6" s="35" t="s">
        <v>135</v>
      </c>
      <c r="G6" s="35" t="s">
        <v>298</v>
      </c>
      <c r="H6" s="36" t="s">
        <v>634</v>
      </c>
      <c r="I6" s="10">
        <v>230</v>
      </c>
      <c r="J6" s="36" t="s">
        <v>635</v>
      </c>
    </row>
    <row r="7" spans="1:10" x14ac:dyDescent="0.2">
      <c r="A7" s="37">
        <v>2</v>
      </c>
      <c r="B7" s="38" t="s">
        <v>636</v>
      </c>
      <c r="C7" s="39" t="s">
        <v>36</v>
      </c>
      <c r="D7" s="40">
        <v>34</v>
      </c>
      <c r="E7" s="40">
        <v>365</v>
      </c>
      <c r="F7" s="39" t="s">
        <v>135</v>
      </c>
      <c r="G7" s="39" t="s">
        <v>443</v>
      </c>
      <c r="H7" s="41" t="s">
        <v>637</v>
      </c>
      <c r="I7" s="40">
        <v>225</v>
      </c>
      <c r="J7" s="41" t="s">
        <v>638</v>
      </c>
    </row>
    <row r="8" spans="1:10" x14ac:dyDescent="0.2">
      <c r="A8" s="42">
        <v>3</v>
      </c>
      <c r="B8" s="43" t="s">
        <v>639</v>
      </c>
      <c r="C8" s="35" t="s">
        <v>40</v>
      </c>
      <c r="D8" s="10">
        <v>29</v>
      </c>
      <c r="E8" s="10">
        <v>280</v>
      </c>
      <c r="F8" s="35" t="s">
        <v>135</v>
      </c>
      <c r="G8" s="35" t="s">
        <v>136</v>
      </c>
      <c r="H8" s="36" t="s">
        <v>640</v>
      </c>
      <c r="I8" s="10">
        <v>190</v>
      </c>
      <c r="J8" s="36" t="s">
        <v>641</v>
      </c>
    </row>
    <row r="9" spans="1:10" x14ac:dyDescent="0.2">
      <c r="A9" s="37">
        <v>4</v>
      </c>
      <c r="B9" s="38" t="s">
        <v>108</v>
      </c>
      <c r="C9" s="39" t="s">
        <v>84</v>
      </c>
      <c r="D9" s="40">
        <v>28</v>
      </c>
      <c r="E9" s="40">
        <v>271</v>
      </c>
      <c r="F9" s="39" t="s">
        <v>135</v>
      </c>
      <c r="G9" s="39" t="s">
        <v>298</v>
      </c>
      <c r="H9" s="41" t="s">
        <v>642</v>
      </c>
      <c r="I9" s="40">
        <v>180</v>
      </c>
      <c r="J9" s="41" t="s">
        <v>643</v>
      </c>
    </row>
    <row r="10" spans="1:10" ht="26" x14ac:dyDescent="0.2">
      <c r="A10" s="42">
        <v>5</v>
      </c>
      <c r="B10" s="43" t="s">
        <v>644</v>
      </c>
      <c r="C10" s="35" t="s">
        <v>149</v>
      </c>
      <c r="D10" s="10">
        <v>27</v>
      </c>
      <c r="E10" s="10">
        <v>232</v>
      </c>
      <c r="F10" s="35" t="s">
        <v>135</v>
      </c>
      <c r="G10" s="35" t="s">
        <v>447</v>
      </c>
      <c r="H10" s="36" t="s">
        <v>645</v>
      </c>
      <c r="I10" s="10">
        <v>170</v>
      </c>
      <c r="J10" s="36" t="s">
        <v>646</v>
      </c>
    </row>
    <row r="11" spans="1:10" x14ac:dyDescent="0.2">
      <c r="A11" s="37">
        <v>6</v>
      </c>
      <c r="B11" s="38" t="s">
        <v>647</v>
      </c>
      <c r="C11" s="39" t="s">
        <v>164</v>
      </c>
      <c r="D11" s="40">
        <v>26</v>
      </c>
      <c r="E11" s="40">
        <v>225</v>
      </c>
      <c r="F11" s="39" t="s">
        <v>135</v>
      </c>
      <c r="G11" s="39" t="s">
        <v>136</v>
      </c>
      <c r="H11" s="41" t="s">
        <v>648</v>
      </c>
      <c r="I11" s="40">
        <v>165</v>
      </c>
      <c r="J11" s="41" t="s">
        <v>649</v>
      </c>
    </row>
    <row r="12" spans="1:10" x14ac:dyDescent="0.2">
      <c r="A12" s="42">
        <v>7</v>
      </c>
      <c r="B12" s="43" t="s">
        <v>650</v>
      </c>
      <c r="C12" s="35" t="s">
        <v>153</v>
      </c>
      <c r="D12" s="10">
        <v>25</v>
      </c>
      <c r="E12" s="10">
        <v>212</v>
      </c>
      <c r="F12" s="35" t="s">
        <v>135</v>
      </c>
      <c r="G12" s="35" t="s">
        <v>136</v>
      </c>
      <c r="H12" s="36" t="s">
        <v>651</v>
      </c>
      <c r="I12" s="10">
        <v>160</v>
      </c>
      <c r="J12" s="36" t="s">
        <v>652</v>
      </c>
    </row>
    <row r="13" spans="1:10" x14ac:dyDescent="0.2">
      <c r="A13" s="37">
        <v>8</v>
      </c>
      <c r="B13" s="38" t="s">
        <v>653</v>
      </c>
      <c r="C13" s="39" t="s">
        <v>164</v>
      </c>
      <c r="D13" s="40">
        <v>23</v>
      </c>
      <c r="E13" s="40">
        <v>192</v>
      </c>
      <c r="F13" s="39" t="s">
        <v>135</v>
      </c>
      <c r="G13" s="39" t="s">
        <v>136</v>
      </c>
      <c r="H13" s="41" t="s">
        <v>654</v>
      </c>
      <c r="I13" s="40">
        <v>150</v>
      </c>
      <c r="J13" s="41" t="s">
        <v>655</v>
      </c>
    </row>
    <row r="14" spans="1:10" x14ac:dyDescent="0.2">
      <c r="A14" s="42">
        <v>9</v>
      </c>
      <c r="B14" s="43" t="s">
        <v>656</v>
      </c>
      <c r="C14" s="35" t="s">
        <v>77</v>
      </c>
      <c r="D14" s="10">
        <v>20</v>
      </c>
      <c r="E14" s="10">
        <v>157</v>
      </c>
      <c r="F14" s="35" t="s">
        <v>135</v>
      </c>
      <c r="G14" s="35" t="s">
        <v>136</v>
      </c>
      <c r="H14" s="36" t="s">
        <v>657</v>
      </c>
      <c r="I14" s="10">
        <v>130</v>
      </c>
      <c r="J14" s="36" t="s">
        <v>658</v>
      </c>
    </row>
    <row r="15" spans="1:10" x14ac:dyDescent="0.2">
      <c r="A15" s="37">
        <v>10</v>
      </c>
      <c r="B15" s="38" t="s">
        <v>111</v>
      </c>
      <c r="C15" s="39" t="s">
        <v>73</v>
      </c>
      <c r="D15" s="40">
        <v>19</v>
      </c>
      <c r="E15" s="40">
        <v>131</v>
      </c>
      <c r="F15" s="39" t="s">
        <v>659</v>
      </c>
      <c r="G15" s="39" t="s">
        <v>443</v>
      </c>
      <c r="H15" s="41" t="s">
        <v>660</v>
      </c>
      <c r="I15" s="40">
        <v>120</v>
      </c>
      <c r="J15" s="41" t="s">
        <v>661</v>
      </c>
    </row>
    <row r="16" spans="1:10" x14ac:dyDescent="0.2">
      <c r="A16" s="42">
        <v>11</v>
      </c>
      <c r="B16" s="43" t="s">
        <v>662</v>
      </c>
      <c r="C16" s="35" t="s">
        <v>185</v>
      </c>
      <c r="D16" s="10">
        <v>19</v>
      </c>
      <c r="E16" s="10">
        <v>122</v>
      </c>
      <c r="F16" s="35" t="s">
        <v>135</v>
      </c>
      <c r="G16" s="35" t="s">
        <v>443</v>
      </c>
      <c r="H16" s="36" t="s">
        <v>663</v>
      </c>
      <c r="I16" s="10">
        <v>115</v>
      </c>
      <c r="J16" s="36" t="s">
        <v>664</v>
      </c>
    </row>
    <row r="18" spans="1:10" x14ac:dyDescent="0.2">
      <c r="A18" s="1" t="s">
        <v>665</v>
      </c>
      <c r="B18" s="1"/>
      <c r="C18" s="1"/>
      <c r="D18" s="1"/>
      <c r="E18" s="1"/>
      <c r="F18" s="1"/>
      <c r="G18" s="1"/>
      <c r="H18" s="1"/>
      <c r="I18" s="1"/>
      <c r="J18" s="1"/>
    </row>
    <row r="19" spans="1:10" ht="28" x14ac:dyDescent="0.2">
      <c r="A19" s="46" t="s">
        <v>126</v>
      </c>
      <c r="B19" s="46" t="s">
        <v>127</v>
      </c>
      <c r="C19" s="46" t="s">
        <v>28</v>
      </c>
      <c r="D19" s="46" t="s">
        <v>128</v>
      </c>
      <c r="E19" s="46" t="s">
        <v>129</v>
      </c>
      <c r="F19" s="46" t="s">
        <v>130</v>
      </c>
      <c r="G19" s="46" t="s">
        <v>131</v>
      </c>
      <c r="H19" s="46" t="s">
        <v>132</v>
      </c>
      <c r="I19" s="46" t="s">
        <v>133</v>
      </c>
      <c r="J19" s="46" t="s">
        <v>134</v>
      </c>
    </row>
    <row r="20" spans="1:10" x14ac:dyDescent="0.2">
      <c r="A20" s="16">
        <v>1</v>
      </c>
      <c r="B20" s="5" t="s">
        <v>108</v>
      </c>
      <c r="C20" s="35" t="s">
        <v>84</v>
      </c>
      <c r="D20" s="10">
        <v>28</v>
      </c>
      <c r="E20" s="10">
        <v>271</v>
      </c>
      <c r="F20" s="35" t="s">
        <v>135</v>
      </c>
      <c r="G20" s="35" t="s">
        <v>298</v>
      </c>
      <c r="H20" s="36" t="s">
        <v>648</v>
      </c>
      <c r="I20" s="10">
        <v>180</v>
      </c>
      <c r="J20" s="36" t="s">
        <v>666</v>
      </c>
    </row>
    <row r="21" spans="1:10" x14ac:dyDescent="0.2">
      <c r="A21" s="37">
        <v>2</v>
      </c>
      <c r="B21" s="38" t="s">
        <v>650</v>
      </c>
      <c r="C21" s="39" t="s">
        <v>153</v>
      </c>
      <c r="D21" s="40">
        <v>25</v>
      </c>
      <c r="E21" s="40">
        <v>212</v>
      </c>
      <c r="F21" s="39" t="s">
        <v>135</v>
      </c>
      <c r="G21" s="39" t="s">
        <v>136</v>
      </c>
      <c r="H21" s="41" t="s">
        <v>667</v>
      </c>
      <c r="I21" s="40">
        <v>160</v>
      </c>
      <c r="J21" s="41" t="s">
        <v>666</v>
      </c>
    </row>
    <row r="22" spans="1:10" x14ac:dyDescent="0.2">
      <c r="A22" s="42">
        <v>3</v>
      </c>
      <c r="B22" s="43" t="s">
        <v>647</v>
      </c>
      <c r="C22" s="35" t="s">
        <v>164</v>
      </c>
      <c r="D22" s="10">
        <v>26</v>
      </c>
      <c r="E22" s="10">
        <v>225</v>
      </c>
      <c r="F22" s="35" t="s">
        <v>135</v>
      </c>
      <c r="G22" s="35" t="s">
        <v>136</v>
      </c>
      <c r="H22" s="36" t="s">
        <v>648</v>
      </c>
      <c r="I22" s="10">
        <v>165</v>
      </c>
      <c r="J22" s="36" t="s">
        <v>666</v>
      </c>
    </row>
    <row r="23" spans="1:10" x14ac:dyDescent="0.2">
      <c r="A23" s="37">
        <v>4</v>
      </c>
      <c r="B23" s="38" t="s">
        <v>644</v>
      </c>
      <c r="C23" s="39" t="s">
        <v>149</v>
      </c>
      <c r="D23" s="40">
        <v>27</v>
      </c>
      <c r="E23" s="40">
        <v>232</v>
      </c>
      <c r="F23" s="39" t="s">
        <v>135</v>
      </c>
      <c r="G23" s="39" t="s">
        <v>447</v>
      </c>
      <c r="H23" s="41" t="s">
        <v>648</v>
      </c>
      <c r="I23" s="40">
        <v>170</v>
      </c>
      <c r="J23" s="41" t="s">
        <v>666</v>
      </c>
    </row>
    <row r="24" spans="1:10" x14ac:dyDescent="0.2">
      <c r="A24" s="42">
        <v>5</v>
      </c>
      <c r="B24" s="43" t="s">
        <v>653</v>
      </c>
      <c r="C24" s="35" t="s">
        <v>164</v>
      </c>
      <c r="D24" s="10">
        <v>23</v>
      </c>
      <c r="E24" s="10">
        <v>192</v>
      </c>
      <c r="F24" s="35" t="s">
        <v>135</v>
      </c>
      <c r="G24" s="35" t="s">
        <v>136</v>
      </c>
      <c r="H24" s="36" t="s">
        <v>476</v>
      </c>
      <c r="I24" s="10">
        <v>150</v>
      </c>
      <c r="J24" s="36" t="s">
        <v>666</v>
      </c>
    </row>
    <row r="25" spans="1:10" x14ac:dyDescent="0.2">
      <c r="A25" s="37">
        <v>6</v>
      </c>
      <c r="B25" s="38" t="s">
        <v>656</v>
      </c>
      <c r="C25" s="39" t="s">
        <v>77</v>
      </c>
      <c r="D25" s="40">
        <v>20</v>
      </c>
      <c r="E25" s="40">
        <v>157</v>
      </c>
      <c r="F25" s="39" t="s">
        <v>135</v>
      </c>
      <c r="G25" s="39" t="s">
        <v>136</v>
      </c>
      <c r="H25" s="41" t="s">
        <v>648</v>
      </c>
      <c r="I25" s="40">
        <v>130</v>
      </c>
      <c r="J25" s="41" t="s">
        <v>666</v>
      </c>
    </row>
    <row r="26" spans="1:10" x14ac:dyDescent="0.2">
      <c r="A26" s="42">
        <v>7</v>
      </c>
      <c r="B26" s="43" t="s">
        <v>111</v>
      </c>
      <c r="C26" s="35" t="s">
        <v>73</v>
      </c>
      <c r="D26" s="10">
        <v>19</v>
      </c>
      <c r="E26" s="10">
        <v>131</v>
      </c>
      <c r="F26" s="35" t="s">
        <v>659</v>
      </c>
      <c r="G26" s="35" t="s">
        <v>443</v>
      </c>
      <c r="H26" s="36" t="s">
        <v>668</v>
      </c>
      <c r="I26" s="10">
        <v>120</v>
      </c>
      <c r="J26" s="36" t="s">
        <v>666</v>
      </c>
    </row>
    <row r="27" spans="1:10" x14ac:dyDescent="0.2">
      <c r="A27" s="37">
        <v>8</v>
      </c>
      <c r="B27" s="38" t="s">
        <v>662</v>
      </c>
      <c r="C27" s="39" t="s">
        <v>185</v>
      </c>
      <c r="D27" s="40">
        <v>19</v>
      </c>
      <c r="E27" s="40">
        <v>122</v>
      </c>
      <c r="F27" s="39" t="s">
        <v>135</v>
      </c>
      <c r="G27" s="39" t="s">
        <v>443</v>
      </c>
      <c r="H27" s="41" t="s">
        <v>669</v>
      </c>
      <c r="I27" s="40">
        <v>115</v>
      </c>
      <c r="J27" s="41" t="s">
        <v>666</v>
      </c>
    </row>
    <row r="28" spans="1:10" x14ac:dyDescent="0.2">
      <c r="A28" s="42">
        <v>9</v>
      </c>
      <c r="B28" s="43" t="s">
        <v>670</v>
      </c>
      <c r="C28" s="35" t="s">
        <v>149</v>
      </c>
      <c r="D28" s="10">
        <v>18</v>
      </c>
      <c r="E28" s="10">
        <v>120</v>
      </c>
      <c r="F28" s="35" t="s">
        <v>135</v>
      </c>
      <c r="G28" s="35" t="s">
        <v>136</v>
      </c>
      <c r="H28" s="36" t="s">
        <v>451</v>
      </c>
      <c r="I28" s="10">
        <v>100</v>
      </c>
      <c r="J28" s="36" t="s">
        <v>671</v>
      </c>
    </row>
    <row r="29" spans="1:10" x14ac:dyDescent="0.2">
      <c r="A29" s="37">
        <v>10</v>
      </c>
      <c r="B29" s="38" t="s">
        <v>672</v>
      </c>
      <c r="C29" s="39" t="s">
        <v>95</v>
      </c>
      <c r="D29" s="40">
        <v>18</v>
      </c>
      <c r="E29" s="40">
        <v>115</v>
      </c>
      <c r="F29" s="39" t="s">
        <v>135</v>
      </c>
      <c r="G29" s="39" t="s">
        <v>443</v>
      </c>
      <c r="H29" s="41" t="s">
        <v>673</v>
      </c>
      <c r="I29" s="40">
        <v>95</v>
      </c>
      <c r="J29" s="41" t="s">
        <v>674</v>
      </c>
    </row>
    <row r="30" spans="1:10" x14ac:dyDescent="0.2">
      <c r="A30" s="42">
        <v>11</v>
      </c>
      <c r="B30" s="43" t="s">
        <v>675</v>
      </c>
      <c r="C30" s="35" t="s">
        <v>73</v>
      </c>
      <c r="D30" s="10">
        <v>18</v>
      </c>
      <c r="E30" s="10">
        <v>95</v>
      </c>
      <c r="F30" s="35" t="s">
        <v>157</v>
      </c>
      <c r="G30" s="35" t="s">
        <v>298</v>
      </c>
      <c r="H30" s="36" t="s">
        <v>676</v>
      </c>
      <c r="I30" s="10">
        <v>90</v>
      </c>
      <c r="J30" s="36" t="s">
        <v>677</v>
      </c>
    </row>
    <row r="32" spans="1:10" x14ac:dyDescent="0.2">
      <c r="A32" s="1" t="s">
        <v>678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28" x14ac:dyDescent="0.2">
      <c r="A33" s="46" t="s">
        <v>126</v>
      </c>
      <c r="B33" s="46" t="s">
        <v>127</v>
      </c>
      <c r="C33" s="46" t="s">
        <v>28</v>
      </c>
      <c r="D33" s="46" t="s">
        <v>128</v>
      </c>
      <c r="E33" s="46" t="s">
        <v>129</v>
      </c>
      <c r="F33" s="46" t="s">
        <v>130</v>
      </c>
      <c r="G33" s="46" t="s">
        <v>131</v>
      </c>
      <c r="H33" s="46" t="s">
        <v>132</v>
      </c>
      <c r="I33" s="46" t="s">
        <v>133</v>
      </c>
      <c r="J33" s="46" t="s">
        <v>134</v>
      </c>
    </row>
    <row r="34" spans="1:10" x14ac:dyDescent="0.2">
      <c r="A34" s="16">
        <v>1</v>
      </c>
      <c r="B34" s="5" t="s">
        <v>111</v>
      </c>
      <c r="C34" s="35" t="s">
        <v>73</v>
      </c>
      <c r="D34" s="10">
        <v>19</v>
      </c>
      <c r="E34" s="10">
        <v>131</v>
      </c>
      <c r="F34" s="35" t="s">
        <v>659</v>
      </c>
      <c r="G34" s="35" t="s">
        <v>443</v>
      </c>
      <c r="H34" s="36" t="s">
        <v>131</v>
      </c>
      <c r="I34" s="10">
        <v>120</v>
      </c>
      <c r="J34" s="36" t="s">
        <v>336</v>
      </c>
    </row>
    <row r="35" spans="1:10" x14ac:dyDescent="0.2">
      <c r="A35" s="37">
        <v>2</v>
      </c>
      <c r="B35" s="38" t="s">
        <v>662</v>
      </c>
      <c r="C35" s="39" t="s">
        <v>185</v>
      </c>
      <c r="D35" s="40">
        <v>19</v>
      </c>
      <c r="E35" s="40">
        <v>122</v>
      </c>
      <c r="F35" s="39" t="s">
        <v>135</v>
      </c>
      <c r="G35" s="39" t="s">
        <v>443</v>
      </c>
      <c r="H35" s="41" t="s">
        <v>131</v>
      </c>
      <c r="I35" s="40">
        <v>115</v>
      </c>
      <c r="J35" s="41" t="s">
        <v>336</v>
      </c>
    </row>
    <row r="36" spans="1:10" x14ac:dyDescent="0.2">
      <c r="A36" s="42">
        <v>3</v>
      </c>
      <c r="B36" s="43" t="s">
        <v>679</v>
      </c>
      <c r="C36" s="35" t="s">
        <v>61</v>
      </c>
      <c r="D36" s="10">
        <v>16</v>
      </c>
      <c r="E36" s="10">
        <v>84</v>
      </c>
      <c r="F36" s="35" t="s">
        <v>135</v>
      </c>
      <c r="G36" s="35" t="s">
        <v>447</v>
      </c>
      <c r="H36" s="36" t="s">
        <v>680</v>
      </c>
      <c r="I36" s="10">
        <v>75</v>
      </c>
      <c r="J36" s="36" t="s">
        <v>681</v>
      </c>
    </row>
    <row r="37" spans="1:10" x14ac:dyDescent="0.2">
      <c r="A37" s="37">
        <v>4</v>
      </c>
      <c r="B37" s="38" t="s">
        <v>672</v>
      </c>
      <c r="C37" s="39" t="s">
        <v>95</v>
      </c>
      <c r="D37" s="40">
        <v>18</v>
      </c>
      <c r="E37" s="40">
        <v>115</v>
      </c>
      <c r="F37" s="39" t="s">
        <v>135</v>
      </c>
      <c r="G37" s="39" t="s">
        <v>443</v>
      </c>
      <c r="H37" s="41" t="s">
        <v>131</v>
      </c>
      <c r="I37" s="40">
        <v>95</v>
      </c>
      <c r="J37" s="41" t="s">
        <v>682</v>
      </c>
    </row>
    <row r="38" spans="1:10" x14ac:dyDescent="0.2">
      <c r="A38" s="42">
        <v>5</v>
      </c>
      <c r="B38" s="43" t="s">
        <v>683</v>
      </c>
      <c r="C38" s="35" t="s">
        <v>73</v>
      </c>
      <c r="D38" s="10">
        <v>17</v>
      </c>
      <c r="E38" s="10">
        <v>106</v>
      </c>
      <c r="F38" s="35" t="s">
        <v>135</v>
      </c>
      <c r="G38" s="35" t="s">
        <v>298</v>
      </c>
      <c r="H38" s="36" t="s">
        <v>684</v>
      </c>
      <c r="I38" s="10">
        <v>80</v>
      </c>
      <c r="J38" s="36" t="s">
        <v>685</v>
      </c>
    </row>
    <row r="39" spans="1:10" x14ac:dyDescent="0.2">
      <c r="A39" s="37">
        <v>6</v>
      </c>
      <c r="B39" s="38" t="s">
        <v>675</v>
      </c>
      <c r="C39" s="39" t="s">
        <v>73</v>
      </c>
      <c r="D39" s="40">
        <v>18</v>
      </c>
      <c r="E39" s="40">
        <v>95</v>
      </c>
      <c r="F39" s="39" t="s">
        <v>157</v>
      </c>
      <c r="G39" s="39" t="s">
        <v>298</v>
      </c>
      <c r="H39" s="41" t="s">
        <v>648</v>
      </c>
      <c r="I39" s="40">
        <v>90</v>
      </c>
      <c r="J39" s="41" t="s">
        <v>682</v>
      </c>
    </row>
    <row r="40" spans="1:10" x14ac:dyDescent="0.2">
      <c r="A40" s="42">
        <v>7</v>
      </c>
      <c r="B40" s="43" t="s">
        <v>670</v>
      </c>
      <c r="C40" s="35" t="s">
        <v>149</v>
      </c>
      <c r="D40" s="10">
        <v>18</v>
      </c>
      <c r="E40" s="10">
        <v>120</v>
      </c>
      <c r="F40" s="35" t="s">
        <v>135</v>
      </c>
      <c r="G40" s="35" t="s">
        <v>136</v>
      </c>
      <c r="H40" s="36" t="s">
        <v>686</v>
      </c>
      <c r="I40" s="10">
        <v>100</v>
      </c>
      <c r="J40" s="36" t="s">
        <v>682</v>
      </c>
    </row>
    <row r="41" spans="1:10" x14ac:dyDescent="0.2">
      <c r="A41" s="37">
        <v>8</v>
      </c>
      <c r="B41" s="38" t="s">
        <v>687</v>
      </c>
      <c r="C41" s="39" t="s">
        <v>40</v>
      </c>
      <c r="D41" s="40">
        <v>16</v>
      </c>
      <c r="E41" s="40">
        <v>93</v>
      </c>
      <c r="F41" s="39" t="s">
        <v>157</v>
      </c>
      <c r="G41" s="39" t="s">
        <v>136</v>
      </c>
      <c r="H41" s="41" t="s">
        <v>688</v>
      </c>
      <c r="I41" s="40">
        <v>70</v>
      </c>
      <c r="J41" s="41" t="s">
        <v>689</v>
      </c>
    </row>
    <row r="42" spans="1:10" x14ac:dyDescent="0.2">
      <c r="A42" s="42">
        <v>9</v>
      </c>
      <c r="B42" s="43" t="s">
        <v>690</v>
      </c>
      <c r="C42" s="35" t="s">
        <v>95</v>
      </c>
      <c r="D42" s="10">
        <v>15</v>
      </c>
      <c r="E42" s="10">
        <v>88</v>
      </c>
      <c r="F42" s="35" t="s">
        <v>135</v>
      </c>
      <c r="G42" s="35" t="s">
        <v>136</v>
      </c>
      <c r="H42" s="36" t="s">
        <v>691</v>
      </c>
      <c r="I42" s="10">
        <v>65</v>
      </c>
      <c r="J42" s="36" t="s">
        <v>692</v>
      </c>
    </row>
    <row r="43" spans="1:10" x14ac:dyDescent="0.2">
      <c r="A43" s="37">
        <v>10</v>
      </c>
      <c r="B43" s="38" t="s">
        <v>693</v>
      </c>
      <c r="C43" s="39" t="s">
        <v>44</v>
      </c>
      <c r="D43" s="40">
        <v>15</v>
      </c>
      <c r="E43" s="40">
        <v>82</v>
      </c>
      <c r="F43" s="39" t="s">
        <v>135</v>
      </c>
      <c r="G43" s="39" t="s">
        <v>136</v>
      </c>
      <c r="H43" s="41" t="s">
        <v>694</v>
      </c>
      <c r="I43" s="40">
        <v>60</v>
      </c>
      <c r="J43" s="41" t="s">
        <v>695</v>
      </c>
    </row>
    <row r="44" spans="1:10" x14ac:dyDescent="0.2">
      <c r="A44" s="42">
        <v>11</v>
      </c>
      <c r="B44" s="43" t="s">
        <v>696</v>
      </c>
      <c r="C44" s="35" t="s">
        <v>65</v>
      </c>
      <c r="D44" s="10">
        <v>15</v>
      </c>
      <c r="E44" s="10">
        <v>81</v>
      </c>
      <c r="F44" s="35" t="s">
        <v>460</v>
      </c>
      <c r="G44" s="35" t="s">
        <v>443</v>
      </c>
      <c r="H44" s="36" t="s">
        <v>697</v>
      </c>
      <c r="I44" s="10">
        <v>60</v>
      </c>
      <c r="J44" s="36" t="s">
        <v>698</v>
      </c>
    </row>
    <row r="46" spans="1:10" x14ac:dyDescent="0.2">
      <c r="A46" s="1" t="s">
        <v>699</v>
      </c>
      <c r="B46" s="1"/>
      <c r="C46" s="1"/>
      <c r="D46" s="1"/>
      <c r="E46" s="1"/>
      <c r="F46" s="1"/>
      <c r="G46" s="1"/>
      <c r="H46" s="1"/>
      <c r="I46" s="1"/>
      <c r="J46" s="1"/>
    </row>
    <row r="47" spans="1:10" ht="28" x14ac:dyDescent="0.2">
      <c r="A47" s="46" t="s">
        <v>126</v>
      </c>
      <c r="B47" s="46" t="s">
        <v>127</v>
      </c>
      <c r="C47" s="46" t="s">
        <v>28</v>
      </c>
      <c r="D47" s="46" t="s">
        <v>128</v>
      </c>
      <c r="E47" s="46" t="s">
        <v>129</v>
      </c>
      <c r="F47" s="46" t="s">
        <v>130</v>
      </c>
      <c r="G47" s="46" t="s">
        <v>131</v>
      </c>
      <c r="H47" s="46" t="s">
        <v>132</v>
      </c>
      <c r="I47" s="46" t="s">
        <v>133</v>
      </c>
      <c r="J47" s="46" t="s">
        <v>134</v>
      </c>
    </row>
    <row r="48" spans="1:10" ht="26" x14ac:dyDescent="0.2">
      <c r="A48" s="16">
        <v>1</v>
      </c>
      <c r="B48" s="5" t="s">
        <v>114</v>
      </c>
      <c r="C48" s="35" t="s">
        <v>36</v>
      </c>
      <c r="D48" s="10">
        <v>14</v>
      </c>
      <c r="E48" s="10">
        <v>67</v>
      </c>
      <c r="F48" s="35" t="s">
        <v>700</v>
      </c>
      <c r="G48" s="35" t="s">
        <v>298</v>
      </c>
      <c r="H48" s="36" t="s">
        <v>701</v>
      </c>
      <c r="I48" s="10">
        <v>50</v>
      </c>
      <c r="J48" s="36" t="s">
        <v>702</v>
      </c>
    </row>
    <row r="49" spans="1:10" ht="26" x14ac:dyDescent="0.2">
      <c r="A49" s="37">
        <v>2</v>
      </c>
      <c r="B49" s="38" t="s">
        <v>703</v>
      </c>
      <c r="C49" s="39" t="s">
        <v>36</v>
      </c>
      <c r="D49" s="40">
        <v>14</v>
      </c>
      <c r="E49" s="40">
        <v>81</v>
      </c>
      <c r="F49" s="39" t="s">
        <v>704</v>
      </c>
      <c r="G49" s="39" t="s">
        <v>136</v>
      </c>
      <c r="H49" s="41" t="s">
        <v>705</v>
      </c>
      <c r="I49" s="40">
        <v>48</v>
      </c>
      <c r="J49" s="41" t="s">
        <v>706</v>
      </c>
    </row>
    <row r="50" spans="1:10" x14ac:dyDescent="0.2">
      <c r="A50" s="42">
        <v>3</v>
      </c>
      <c r="B50" s="43" t="s">
        <v>707</v>
      </c>
      <c r="C50" s="35" t="s">
        <v>149</v>
      </c>
      <c r="D50" s="10">
        <v>13</v>
      </c>
      <c r="E50" s="10">
        <v>52</v>
      </c>
      <c r="F50" s="35" t="s">
        <v>157</v>
      </c>
      <c r="G50" s="35" t="s">
        <v>447</v>
      </c>
      <c r="H50" s="36" t="s">
        <v>708</v>
      </c>
      <c r="I50" s="10">
        <v>45</v>
      </c>
      <c r="J50" s="36" t="s">
        <v>709</v>
      </c>
    </row>
    <row r="51" spans="1:10" x14ac:dyDescent="0.2">
      <c r="A51" s="37">
        <v>4</v>
      </c>
      <c r="B51" s="38" t="s">
        <v>710</v>
      </c>
      <c r="C51" s="39" t="s">
        <v>73</v>
      </c>
      <c r="D51" s="40">
        <v>13</v>
      </c>
      <c r="E51" s="40">
        <v>62</v>
      </c>
      <c r="F51" s="39" t="s">
        <v>157</v>
      </c>
      <c r="G51" s="39" t="s">
        <v>136</v>
      </c>
      <c r="H51" s="41" t="s">
        <v>711</v>
      </c>
      <c r="I51" s="40">
        <v>42</v>
      </c>
      <c r="J51" s="41" t="s">
        <v>712</v>
      </c>
    </row>
    <row r="52" spans="1:10" x14ac:dyDescent="0.2">
      <c r="A52" s="42">
        <v>5</v>
      </c>
      <c r="B52" s="43" t="s">
        <v>713</v>
      </c>
      <c r="C52" s="35" t="s">
        <v>95</v>
      </c>
      <c r="D52" s="10">
        <v>13</v>
      </c>
      <c r="E52" s="10">
        <v>55</v>
      </c>
      <c r="F52" s="35" t="s">
        <v>135</v>
      </c>
      <c r="G52" s="35" t="s">
        <v>298</v>
      </c>
      <c r="H52" s="36" t="s">
        <v>714</v>
      </c>
      <c r="I52" s="10">
        <v>40</v>
      </c>
      <c r="J52" s="36" t="s">
        <v>715</v>
      </c>
    </row>
    <row r="53" spans="1:10" x14ac:dyDescent="0.2">
      <c r="A53" s="37">
        <v>6</v>
      </c>
      <c r="B53" s="38" t="s">
        <v>716</v>
      </c>
      <c r="C53" s="39" t="s">
        <v>172</v>
      </c>
      <c r="D53" s="40">
        <v>13</v>
      </c>
      <c r="E53" s="40">
        <v>50</v>
      </c>
      <c r="F53" s="39" t="s">
        <v>135</v>
      </c>
      <c r="G53" s="39" t="s">
        <v>136</v>
      </c>
      <c r="H53" s="41" t="s">
        <v>717</v>
      </c>
      <c r="I53" s="40">
        <v>40</v>
      </c>
      <c r="J53" s="41" t="s">
        <v>718</v>
      </c>
    </row>
    <row r="54" spans="1:10" x14ac:dyDescent="0.2">
      <c r="A54" s="42">
        <v>7</v>
      </c>
      <c r="B54" s="43" t="s">
        <v>719</v>
      </c>
      <c r="C54" s="35" t="s">
        <v>36</v>
      </c>
      <c r="D54" s="10">
        <v>12</v>
      </c>
      <c r="E54" s="10">
        <v>53</v>
      </c>
      <c r="F54" s="35" t="s">
        <v>157</v>
      </c>
      <c r="G54" s="35" t="s">
        <v>298</v>
      </c>
      <c r="H54" s="36" t="s">
        <v>451</v>
      </c>
      <c r="I54" s="10">
        <v>38</v>
      </c>
      <c r="J54" s="36" t="s">
        <v>720</v>
      </c>
    </row>
    <row r="55" spans="1:10" x14ac:dyDescent="0.2">
      <c r="A55" s="37">
        <v>8</v>
      </c>
      <c r="B55" s="38" t="s">
        <v>721</v>
      </c>
      <c r="C55" s="39" t="s">
        <v>199</v>
      </c>
      <c r="D55" s="40">
        <v>12</v>
      </c>
      <c r="E55" s="40">
        <v>51</v>
      </c>
      <c r="F55" s="39" t="s">
        <v>135</v>
      </c>
      <c r="G55" s="39" t="s">
        <v>136</v>
      </c>
      <c r="H55" s="41" t="s">
        <v>722</v>
      </c>
      <c r="I55" s="40">
        <v>35</v>
      </c>
      <c r="J55" s="41" t="s">
        <v>723</v>
      </c>
    </row>
    <row r="56" spans="1:10" x14ac:dyDescent="0.2">
      <c r="A56" s="42">
        <v>9</v>
      </c>
      <c r="B56" s="43" t="s">
        <v>724</v>
      </c>
      <c r="C56" s="35" t="s">
        <v>84</v>
      </c>
      <c r="D56" s="10">
        <v>14</v>
      </c>
      <c r="E56" s="10">
        <v>57</v>
      </c>
      <c r="F56" s="35" t="s">
        <v>157</v>
      </c>
      <c r="G56" s="35" t="s">
        <v>136</v>
      </c>
      <c r="H56" s="36" t="s">
        <v>725</v>
      </c>
      <c r="I56" s="10">
        <v>35</v>
      </c>
      <c r="J56" s="36" t="s">
        <v>726</v>
      </c>
    </row>
    <row r="57" spans="1:10" x14ac:dyDescent="0.2">
      <c r="A57" s="37">
        <v>10</v>
      </c>
      <c r="B57" s="38" t="s">
        <v>727</v>
      </c>
      <c r="C57" s="39" t="s">
        <v>172</v>
      </c>
      <c r="D57" s="40">
        <v>13</v>
      </c>
      <c r="E57" s="40">
        <v>47</v>
      </c>
      <c r="F57" s="39" t="s">
        <v>135</v>
      </c>
      <c r="G57" s="39" t="s">
        <v>136</v>
      </c>
      <c r="H57" s="41" t="s">
        <v>728</v>
      </c>
      <c r="I57" s="40">
        <v>35</v>
      </c>
      <c r="J57" s="41" t="s">
        <v>729</v>
      </c>
    </row>
    <row r="58" spans="1:10" x14ac:dyDescent="0.2">
      <c r="A58" s="42">
        <v>11</v>
      </c>
      <c r="B58" s="43" t="s">
        <v>730</v>
      </c>
      <c r="C58" s="35" t="s">
        <v>65</v>
      </c>
      <c r="D58" s="10">
        <v>11</v>
      </c>
      <c r="E58" s="10">
        <v>43</v>
      </c>
      <c r="F58" s="35" t="s">
        <v>157</v>
      </c>
      <c r="G58" s="35" t="s">
        <v>136</v>
      </c>
      <c r="H58" s="36" t="s">
        <v>731</v>
      </c>
      <c r="I58" s="10">
        <v>30</v>
      </c>
      <c r="J58" s="36" t="s">
        <v>732</v>
      </c>
    </row>
    <row r="60" spans="1:10" x14ac:dyDescent="0.2">
      <c r="A60" s="1" t="s">
        <v>733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ht="28" x14ac:dyDescent="0.2">
      <c r="A61" s="46" t="s">
        <v>126</v>
      </c>
      <c r="B61" s="46" t="s">
        <v>127</v>
      </c>
      <c r="C61" s="46" t="s">
        <v>28</v>
      </c>
      <c r="D61" s="46" t="s">
        <v>128</v>
      </c>
      <c r="E61" s="46" t="s">
        <v>129</v>
      </c>
      <c r="F61" s="46" t="s">
        <v>130</v>
      </c>
      <c r="G61" s="46" t="s">
        <v>131</v>
      </c>
      <c r="H61" s="46" t="s">
        <v>132</v>
      </c>
      <c r="I61" s="46" t="s">
        <v>133</v>
      </c>
      <c r="J61" s="46" t="s">
        <v>134</v>
      </c>
    </row>
    <row r="62" spans="1:10" x14ac:dyDescent="0.2">
      <c r="A62" s="16">
        <v>1</v>
      </c>
      <c r="B62" s="5" t="s">
        <v>117</v>
      </c>
      <c r="C62" s="35" t="s">
        <v>57</v>
      </c>
      <c r="D62" s="10">
        <v>11</v>
      </c>
      <c r="E62" s="10">
        <v>63</v>
      </c>
      <c r="F62" s="35" t="s">
        <v>135</v>
      </c>
      <c r="G62" s="35" t="s">
        <v>136</v>
      </c>
      <c r="H62" s="36" t="s">
        <v>734</v>
      </c>
      <c r="I62" s="10">
        <v>25</v>
      </c>
      <c r="J62" s="36" t="s">
        <v>735</v>
      </c>
    </row>
    <row r="63" spans="1:10" x14ac:dyDescent="0.2">
      <c r="A63" s="37">
        <v>2</v>
      </c>
      <c r="B63" s="38" t="s">
        <v>736</v>
      </c>
      <c r="C63" s="39" t="s">
        <v>77</v>
      </c>
      <c r="D63" s="40">
        <v>11</v>
      </c>
      <c r="E63" s="40">
        <v>50</v>
      </c>
      <c r="F63" s="39" t="s">
        <v>157</v>
      </c>
      <c r="G63" s="39" t="s">
        <v>136</v>
      </c>
      <c r="H63" s="41" t="s">
        <v>737</v>
      </c>
      <c r="I63" s="40">
        <v>25</v>
      </c>
      <c r="J63" s="41" t="s">
        <v>738</v>
      </c>
    </row>
    <row r="64" spans="1:10" x14ac:dyDescent="0.2">
      <c r="A64" s="42">
        <v>3</v>
      </c>
      <c r="B64" s="43" t="s">
        <v>739</v>
      </c>
      <c r="C64" s="35" t="s">
        <v>84</v>
      </c>
      <c r="D64" s="10">
        <v>10</v>
      </c>
      <c r="E64" s="10">
        <v>45</v>
      </c>
      <c r="F64" s="35" t="s">
        <v>740</v>
      </c>
      <c r="G64" s="35" t="s">
        <v>741</v>
      </c>
      <c r="H64" s="36" t="s">
        <v>742</v>
      </c>
      <c r="I64" s="10">
        <v>22</v>
      </c>
      <c r="J64" s="36" t="s">
        <v>743</v>
      </c>
    </row>
    <row r="65" spans="1:10" x14ac:dyDescent="0.2">
      <c r="A65" s="37">
        <v>4</v>
      </c>
      <c r="B65" s="38" t="s">
        <v>744</v>
      </c>
      <c r="C65" s="39" t="s">
        <v>206</v>
      </c>
      <c r="D65" s="40">
        <v>9</v>
      </c>
      <c r="E65" s="40">
        <v>33</v>
      </c>
      <c r="F65" s="39" t="s">
        <v>135</v>
      </c>
      <c r="G65" s="39" t="s">
        <v>298</v>
      </c>
      <c r="H65" s="41" t="s">
        <v>745</v>
      </c>
      <c r="I65" s="40">
        <v>20</v>
      </c>
      <c r="J65" s="41" t="s">
        <v>746</v>
      </c>
    </row>
    <row r="66" spans="1:10" x14ac:dyDescent="0.2">
      <c r="A66" s="42">
        <v>5</v>
      </c>
      <c r="B66" s="43" t="s">
        <v>747</v>
      </c>
      <c r="C66" s="35" t="s">
        <v>40</v>
      </c>
      <c r="D66" s="10">
        <v>7</v>
      </c>
      <c r="E66" s="10">
        <v>21</v>
      </c>
      <c r="F66" s="35" t="s">
        <v>704</v>
      </c>
      <c r="G66" s="35" t="s">
        <v>136</v>
      </c>
      <c r="H66" s="36" t="s">
        <v>748</v>
      </c>
      <c r="I66" s="10">
        <v>18</v>
      </c>
      <c r="J66" s="36" t="s">
        <v>749</v>
      </c>
    </row>
    <row r="67" spans="1:10" x14ac:dyDescent="0.2">
      <c r="A67" s="37">
        <v>6</v>
      </c>
      <c r="B67" s="38" t="s">
        <v>750</v>
      </c>
      <c r="C67" s="39" t="s">
        <v>99</v>
      </c>
      <c r="D67" s="40">
        <v>7</v>
      </c>
      <c r="E67" s="40">
        <v>18</v>
      </c>
      <c r="F67" s="39" t="s">
        <v>135</v>
      </c>
      <c r="G67" s="39" t="s">
        <v>443</v>
      </c>
      <c r="H67" s="41" t="s">
        <v>751</v>
      </c>
      <c r="I67" s="40">
        <v>16</v>
      </c>
      <c r="J67" s="41" t="s">
        <v>752</v>
      </c>
    </row>
    <row r="68" spans="1:10" x14ac:dyDescent="0.2">
      <c r="A68" s="42">
        <v>7</v>
      </c>
      <c r="B68" s="43" t="s">
        <v>753</v>
      </c>
      <c r="C68" s="35" t="s">
        <v>44</v>
      </c>
      <c r="D68" s="10">
        <v>7</v>
      </c>
      <c r="E68" s="10">
        <v>18</v>
      </c>
      <c r="F68" s="35" t="s">
        <v>157</v>
      </c>
      <c r="G68" s="35" t="s">
        <v>136</v>
      </c>
      <c r="H68" s="36" t="s">
        <v>754</v>
      </c>
      <c r="I68" s="10">
        <v>15</v>
      </c>
      <c r="J68" s="36" t="s">
        <v>755</v>
      </c>
    </row>
    <row r="69" spans="1:10" x14ac:dyDescent="0.2">
      <c r="A69" s="37">
        <v>8</v>
      </c>
      <c r="B69" s="38" t="s">
        <v>756</v>
      </c>
      <c r="C69" s="39" t="s">
        <v>199</v>
      </c>
      <c r="D69" s="40">
        <v>8</v>
      </c>
      <c r="E69" s="40">
        <v>28</v>
      </c>
      <c r="F69" s="39" t="s">
        <v>135</v>
      </c>
      <c r="G69" s="39" t="s">
        <v>443</v>
      </c>
      <c r="H69" s="41" t="s">
        <v>757</v>
      </c>
      <c r="I69" s="40">
        <v>15</v>
      </c>
      <c r="J69" s="41" t="s">
        <v>758</v>
      </c>
    </row>
    <row r="70" spans="1:10" x14ac:dyDescent="0.2">
      <c r="A70" s="42">
        <v>9</v>
      </c>
      <c r="B70" s="43" t="s">
        <v>759</v>
      </c>
      <c r="C70" s="35" t="s">
        <v>164</v>
      </c>
      <c r="D70" s="10">
        <v>9</v>
      </c>
      <c r="E70" s="10">
        <v>40</v>
      </c>
      <c r="F70" s="35" t="s">
        <v>165</v>
      </c>
      <c r="G70" s="35" t="s">
        <v>136</v>
      </c>
      <c r="H70" s="36" t="s">
        <v>760</v>
      </c>
      <c r="I70" s="10">
        <v>15</v>
      </c>
      <c r="J70" s="36" t="s">
        <v>761</v>
      </c>
    </row>
    <row r="71" spans="1:10" x14ac:dyDescent="0.2">
      <c r="A71" s="37">
        <v>10</v>
      </c>
      <c r="B71" s="38" t="s">
        <v>762</v>
      </c>
      <c r="C71" s="39" t="s">
        <v>95</v>
      </c>
      <c r="D71" s="40">
        <v>10</v>
      </c>
      <c r="E71" s="40">
        <v>39</v>
      </c>
      <c r="F71" s="39" t="s">
        <v>165</v>
      </c>
      <c r="G71" s="39" t="s">
        <v>136</v>
      </c>
      <c r="H71" s="41" t="s">
        <v>763</v>
      </c>
      <c r="I71" s="40">
        <v>14</v>
      </c>
      <c r="J71" s="41" t="s">
        <v>764</v>
      </c>
    </row>
    <row r="72" spans="1:10" x14ac:dyDescent="0.2">
      <c r="A72" s="42">
        <v>11</v>
      </c>
      <c r="B72" s="43" t="s">
        <v>765</v>
      </c>
      <c r="C72" s="35" t="s">
        <v>57</v>
      </c>
      <c r="D72" s="10">
        <v>8</v>
      </c>
      <c r="E72" s="10">
        <v>20</v>
      </c>
      <c r="F72" s="35" t="s">
        <v>157</v>
      </c>
      <c r="G72" s="35" t="s">
        <v>136</v>
      </c>
      <c r="H72" s="36" t="s">
        <v>766</v>
      </c>
      <c r="I72" s="10">
        <v>14</v>
      </c>
      <c r="J72" s="36" t="s">
        <v>767</v>
      </c>
    </row>
    <row r="74" spans="1:10" x14ac:dyDescent="0.2">
      <c r="A74" s="1" t="s">
        <v>768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ht="28" x14ac:dyDescent="0.2">
      <c r="A75" s="46" t="s">
        <v>126</v>
      </c>
      <c r="B75" s="46" t="s">
        <v>127</v>
      </c>
      <c r="C75" s="46" t="s">
        <v>28</v>
      </c>
      <c r="D75" s="46" t="s">
        <v>128</v>
      </c>
      <c r="E75" s="46" t="s">
        <v>129</v>
      </c>
      <c r="F75" s="46" t="s">
        <v>130</v>
      </c>
      <c r="G75" s="46" t="s">
        <v>131</v>
      </c>
      <c r="H75" s="46" t="s">
        <v>132</v>
      </c>
      <c r="I75" s="46" t="s">
        <v>133</v>
      </c>
      <c r="J75" s="46" t="s">
        <v>134</v>
      </c>
    </row>
    <row r="76" spans="1:10" x14ac:dyDescent="0.2">
      <c r="A76" s="16">
        <v>1</v>
      </c>
      <c r="B76" s="5" t="s">
        <v>120</v>
      </c>
      <c r="C76" s="35" t="s">
        <v>69</v>
      </c>
      <c r="D76" s="10">
        <v>9</v>
      </c>
      <c r="E76" s="10">
        <v>30</v>
      </c>
      <c r="F76" s="35" t="s">
        <v>135</v>
      </c>
      <c r="G76" s="35" t="s">
        <v>136</v>
      </c>
      <c r="H76" s="36" t="s">
        <v>769</v>
      </c>
      <c r="I76" s="10">
        <v>12</v>
      </c>
      <c r="J76" s="36" t="s">
        <v>770</v>
      </c>
    </row>
    <row r="77" spans="1:10" x14ac:dyDescent="0.2">
      <c r="A77" s="37">
        <v>2</v>
      </c>
      <c r="B77" s="38" t="s">
        <v>756</v>
      </c>
      <c r="C77" s="39" t="s">
        <v>199</v>
      </c>
      <c r="D77" s="40">
        <v>8</v>
      </c>
      <c r="E77" s="40">
        <v>28</v>
      </c>
      <c r="F77" s="39" t="s">
        <v>135</v>
      </c>
      <c r="G77" s="39" t="s">
        <v>443</v>
      </c>
      <c r="H77" s="41" t="s">
        <v>771</v>
      </c>
      <c r="I77" s="40">
        <v>15</v>
      </c>
      <c r="J77" s="41" t="s">
        <v>772</v>
      </c>
    </row>
    <row r="78" spans="1:10" x14ac:dyDescent="0.2">
      <c r="A78" s="42">
        <v>3</v>
      </c>
      <c r="B78" s="43" t="s">
        <v>773</v>
      </c>
      <c r="C78" s="35" t="s">
        <v>172</v>
      </c>
      <c r="D78" s="10">
        <v>5</v>
      </c>
      <c r="E78" s="10">
        <v>14</v>
      </c>
      <c r="F78" s="35" t="s">
        <v>135</v>
      </c>
      <c r="G78" s="35" t="s">
        <v>136</v>
      </c>
      <c r="H78" s="36" t="s">
        <v>717</v>
      </c>
      <c r="I78" s="10">
        <v>10</v>
      </c>
      <c r="J78" s="36" t="s">
        <v>774</v>
      </c>
    </row>
    <row r="79" spans="1:10" x14ac:dyDescent="0.2">
      <c r="A79" s="37">
        <v>4</v>
      </c>
      <c r="B79" s="38" t="s">
        <v>775</v>
      </c>
      <c r="C79" s="39" t="s">
        <v>149</v>
      </c>
      <c r="D79" s="40">
        <v>5</v>
      </c>
      <c r="E79" s="40">
        <v>18</v>
      </c>
      <c r="F79" s="39" t="s">
        <v>704</v>
      </c>
      <c r="G79" s="39" t="s">
        <v>136</v>
      </c>
      <c r="H79" s="41" t="s">
        <v>776</v>
      </c>
      <c r="I79" s="40">
        <v>8</v>
      </c>
      <c r="J79" s="41" t="s">
        <v>777</v>
      </c>
    </row>
    <row r="80" spans="1:10" x14ac:dyDescent="0.2">
      <c r="A80" s="42">
        <v>5</v>
      </c>
      <c r="B80" s="43" t="s">
        <v>778</v>
      </c>
      <c r="C80" s="35" t="s">
        <v>164</v>
      </c>
      <c r="D80" s="10">
        <v>6</v>
      </c>
      <c r="E80" s="10">
        <v>25</v>
      </c>
      <c r="F80" s="35" t="s">
        <v>165</v>
      </c>
      <c r="G80" s="35" t="s">
        <v>136</v>
      </c>
      <c r="H80" s="36" t="s">
        <v>779</v>
      </c>
      <c r="I80" s="10">
        <v>8</v>
      </c>
      <c r="J80" s="36" t="s">
        <v>780</v>
      </c>
    </row>
    <row r="81" spans="1:10" x14ac:dyDescent="0.2">
      <c r="A81" s="37">
        <v>6</v>
      </c>
      <c r="B81" s="38" t="s">
        <v>781</v>
      </c>
      <c r="C81" s="39" t="s">
        <v>99</v>
      </c>
      <c r="D81" s="40">
        <v>9</v>
      </c>
      <c r="E81" s="40">
        <v>25</v>
      </c>
      <c r="F81" s="39" t="s">
        <v>157</v>
      </c>
      <c r="G81" s="39" t="s">
        <v>136</v>
      </c>
      <c r="H81" s="41" t="s">
        <v>782</v>
      </c>
      <c r="I81" s="40">
        <v>8</v>
      </c>
      <c r="J81" s="41" t="s">
        <v>783</v>
      </c>
    </row>
    <row r="82" spans="1:10" x14ac:dyDescent="0.2">
      <c r="A82" s="42">
        <v>7</v>
      </c>
      <c r="B82" s="43" t="s">
        <v>784</v>
      </c>
      <c r="C82" s="35" t="s">
        <v>153</v>
      </c>
      <c r="D82" s="10">
        <v>8</v>
      </c>
      <c r="E82" s="10">
        <v>24</v>
      </c>
      <c r="F82" s="35" t="s">
        <v>704</v>
      </c>
      <c r="G82" s="35" t="s">
        <v>136</v>
      </c>
      <c r="H82" s="36" t="s">
        <v>785</v>
      </c>
      <c r="I82" s="10">
        <v>8</v>
      </c>
      <c r="J82" s="36" t="s">
        <v>786</v>
      </c>
    </row>
    <row r="83" spans="1:10" x14ac:dyDescent="0.2">
      <c r="A83" s="37">
        <v>8</v>
      </c>
      <c r="B83" s="38" t="s">
        <v>787</v>
      </c>
      <c r="C83" s="39" t="s">
        <v>88</v>
      </c>
      <c r="D83" s="40">
        <v>10</v>
      </c>
      <c r="E83" s="40">
        <v>32</v>
      </c>
      <c r="F83" s="39" t="s">
        <v>165</v>
      </c>
      <c r="G83" s="39" t="s">
        <v>136</v>
      </c>
      <c r="H83" s="41" t="s">
        <v>788</v>
      </c>
      <c r="I83" s="40">
        <v>8</v>
      </c>
      <c r="J83" s="41" t="s">
        <v>789</v>
      </c>
    </row>
    <row r="84" spans="1:10" x14ac:dyDescent="0.2">
      <c r="A84" s="42">
        <v>9</v>
      </c>
      <c r="B84" s="43" t="s">
        <v>790</v>
      </c>
      <c r="C84" s="35" t="s">
        <v>172</v>
      </c>
      <c r="D84" s="10">
        <v>4</v>
      </c>
      <c r="E84" s="10">
        <v>9</v>
      </c>
      <c r="F84" s="35" t="s">
        <v>227</v>
      </c>
      <c r="G84" s="35" t="s">
        <v>136</v>
      </c>
      <c r="H84" s="36" t="s">
        <v>218</v>
      </c>
      <c r="I84" s="10">
        <v>5</v>
      </c>
      <c r="J84" s="36" t="s">
        <v>791</v>
      </c>
    </row>
    <row r="85" spans="1:10" x14ac:dyDescent="0.2">
      <c r="A85" s="37">
        <v>10</v>
      </c>
      <c r="B85" s="38" t="s">
        <v>792</v>
      </c>
      <c r="C85" s="39" t="s">
        <v>164</v>
      </c>
      <c r="D85" s="40">
        <v>3</v>
      </c>
      <c r="E85" s="40">
        <v>10</v>
      </c>
      <c r="F85" s="39" t="s">
        <v>227</v>
      </c>
      <c r="G85" s="39" t="s">
        <v>136</v>
      </c>
      <c r="H85" s="41" t="s">
        <v>793</v>
      </c>
      <c r="I85" s="40">
        <v>4</v>
      </c>
      <c r="J85" s="41" t="s">
        <v>794</v>
      </c>
    </row>
    <row r="86" spans="1:10" x14ac:dyDescent="0.2">
      <c r="A86" s="42">
        <v>11</v>
      </c>
      <c r="B86" s="43" t="s">
        <v>795</v>
      </c>
      <c r="C86" s="35" t="s">
        <v>88</v>
      </c>
      <c r="D86" s="10">
        <v>6</v>
      </c>
      <c r="E86" s="10">
        <v>17</v>
      </c>
      <c r="F86" s="35" t="s">
        <v>165</v>
      </c>
      <c r="G86" s="35" t="s">
        <v>136</v>
      </c>
      <c r="H86" s="36" t="s">
        <v>796</v>
      </c>
      <c r="I86" s="10">
        <v>5</v>
      </c>
      <c r="J86" s="36" t="s">
        <v>797</v>
      </c>
    </row>
  </sheetData>
  <mergeCells count="6">
    <mergeCell ref="A74:J74"/>
    <mergeCell ref="A4:J4"/>
    <mergeCell ref="A18:J18"/>
    <mergeCell ref="A32:J32"/>
    <mergeCell ref="A46:J46"/>
    <mergeCell ref="A60:J6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00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22" customWidth="1"/>
    <col min="2" max="2" width="7" customWidth="1"/>
    <col min="3" max="3" width="12" customWidth="1"/>
    <col min="4" max="4" width="13" customWidth="1"/>
    <col min="5" max="6" width="7" customWidth="1"/>
  </cols>
  <sheetData>
    <row r="1" spans="1:6" ht="16" x14ac:dyDescent="0.2">
      <c r="A1" s="47" t="s">
        <v>798</v>
      </c>
    </row>
    <row r="3" spans="1:6" x14ac:dyDescent="0.2">
      <c r="A3" s="48" t="s">
        <v>799</v>
      </c>
      <c r="B3" s="48" t="s">
        <v>25</v>
      </c>
      <c r="C3" s="48" t="s">
        <v>800</v>
      </c>
      <c r="D3" s="48" t="s">
        <v>28</v>
      </c>
      <c r="E3" s="48" t="s">
        <v>128</v>
      </c>
      <c r="F3" s="48" t="s">
        <v>129</v>
      </c>
    </row>
    <row r="4" spans="1:6" x14ac:dyDescent="0.2">
      <c r="A4" s="25" t="s">
        <v>23</v>
      </c>
      <c r="B4" s="49" t="s">
        <v>8</v>
      </c>
      <c r="C4" s="35" t="s">
        <v>801</v>
      </c>
      <c r="D4" s="35" t="s">
        <v>36</v>
      </c>
      <c r="E4" s="50">
        <v>18</v>
      </c>
      <c r="F4" s="50">
        <v>65</v>
      </c>
    </row>
    <row r="5" spans="1:6" x14ac:dyDescent="0.2">
      <c r="A5" s="25" t="s">
        <v>139</v>
      </c>
      <c r="B5" s="49" t="s">
        <v>8</v>
      </c>
      <c r="C5" s="35" t="s">
        <v>801</v>
      </c>
      <c r="D5" s="35" t="s">
        <v>40</v>
      </c>
      <c r="E5" s="50">
        <v>17</v>
      </c>
      <c r="F5" s="50">
        <v>63</v>
      </c>
    </row>
    <row r="6" spans="1:6" x14ac:dyDescent="0.2">
      <c r="A6" s="25" t="s">
        <v>142</v>
      </c>
      <c r="B6" s="49" t="s">
        <v>8</v>
      </c>
      <c r="C6" s="35" t="s">
        <v>801</v>
      </c>
      <c r="D6" s="35" t="s">
        <v>77</v>
      </c>
      <c r="E6" s="50">
        <v>16</v>
      </c>
      <c r="F6" s="50">
        <v>56</v>
      </c>
    </row>
    <row r="7" spans="1:6" x14ac:dyDescent="0.2">
      <c r="A7" s="25" t="s">
        <v>145</v>
      </c>
      <c r="B7" s="49" t="s">
        <v>8</v>
      </c>
      <c r="C7" s="35" t="s">
        <v>801</v>
      </c>
      <c r="D7" s="35" t="s">
        <v>73</v>
      </c>
      <c r="E7" s="50">
        <v>16</v>
      </c>
      <c r="F7" s="50">
        <v>52</v>
      </c>
    </row>
    <row r="8" spans="1:6" x14ac:dyDescent="0.2">
      <c r="A8" s="25" t="s">
        <v>148</v>
      </c>
      <c r="B8" s="49" t="s">
        <v>8</v>
      </c>
      <c r="C8" s="35" t="s">
        <v>801</v>
      </c>
      <c r="D8" s="35" t="s">
        <v>149</v>
      </c>
      <c r="E8" s="50">
        <v>15</v>
      </c>
      <c r="F8" s="50">
        <v>50</v>
      </c>
    </row>
    <row r="9" spans="1:6" x14ac:dyDescent="0.2">
      <c r="A9" s="25" t="s">
        <v>152</v>
      </c>
      <c r="B9" s="49" t="s">
        <v>8</v>
      </c>
      <c r="C9" s="35" t="s">
        <v>801</v>
      </c>
      <c r="D9" s="35" t="s">
        <v>153</v>
      </c>
      <c r="E9" s="50">
        <v>13</v>
      </c>
      <c r="F9" s="50">
        <v>45</v>
      </c>
    </row>
    <row r="10" spans="1:6" x14ac:dyDescent="0.2">
      <c r="A10" s="25" t="s">
        <v>156</v>
      </c>
      <c r="B10" s="49" t="s">
        <v>8</v>
      </c>
      <c r="C10" s="35" t="s">
        <v>801</v>
      </c>
      <c r="D10" s="35" t="s">
        <v>84</v>
      </c>
      <c r="E10" s="50">
        <v>11</v>
      </c>
      <c r="F10" s="50">
        <v>45</v>
      </c>
    </row>
    <row r="11" spans="1:6" x14ac:dyDescent="0.2">
      <c r="A11" s="25" t="s">
        <v>160</v>
      </c>
      <c r="B11" s="49" t="s">
        <v>8</v>
      </c>
      <c r="C11" s="35" t="s">
        <v>801</v>
      </c>
      <c r="D11" s="35" t="s">
        <v>61</v>
      </c>
      <c r="E11" s="50">
        <v>10</v>
      </c>
      <c r="F11" s="50">
        <v>37</v>
      </c>
    </row>
    <row r="12" spans="1:6" x14ac:dyDescent="0.2">
      <c r="A12" s="25" t="s">
        <v>171</v>
      </c>
      <c r="B12" s="49" t="s">
        <v>8</v>
      </c>
      <c r="C12" s="35" t="s">
        <v>801</v>
      </c>
      <c r="D12" s="35" t="s">
        <v>172</v>
      </c>
      <c r="E12" s="50">
        <v>9</v>
      </c>
      <c r="F12" s="50">
        <v>27</v>
      </c>
    </row>
    <row r="13" spans="1:6" x14ac:dyDescent="0.2">
      <c r="A13" s="25" t="s">
        <v>163</v>
      </c>
      <c r="B13" s="49" t="s">
        <v>8</v>
      </c>
      <c r="C13" s="35" t="s">
        <v>801</v>
      </c>
      <c r="D13" s="35" t="s">
        <v>164</v>
      </c>
      <c r="E13" s="50">
        <v>9</v>
      </c>
      <c r="F13" s="50">
        <v>40</v>
      </c>
    </row>
    <row r="14" spans="1:6" x14ac:dyDescent="0.2">
      <c r="A14" s="25" t="s">
        <v>168</v>
      </c>
      <c r="B14" s="49" t="s">
        <v>8</v>
      </c>
      <c r="C14" s="35" t="s">
        <v>801</v>
      </c>
      <c r="D14" s="35" t="s">
        <v>88</v>
      </c>
      <c r="E14" s="50">
        <v>9</v>
      </c>
      <c r="F14" s="50">
        <v>30</v>
      </c>
    </row>
    <row r="15" spans="1:6" x14ac:dyDescent="0.2">
      <c r="A15" s="25" t="s">
        <v>184</v>
      </c>
      <c r="B15" s="49" t="s">
        <v>8</v>
      </c>
      <c r="C15" s="35" t="s">
        <v>801</v>
      </c>
      <c r="D15" s="35" t="s">
        <v>185</v>
      </c>
      <c r="E15" s="50">
        <v>9</v>
      </c>
      <c r="F15" s="50">
        <v>29</v>
      </c>
    </row>
    <row r="16" spans="1:6" x14ac:dyDescent="0.2">
      <c r="A16" s="25" t="s">
        <v>192</v>
      </c>
      <c r="B16" s="49" t="s">
        <v>8</v>
      </c>
      <c r="C16" s="35" t="s">
        <v>801</v>
      </c>
      <c r="D16" s="35" t="s">
        <v>57</v>
      </c>
      <c r="E16" s="50">
        <v>8</v>
      </c>
      <c r="F16" s="50">
        <v>18</v>
      </c>
    </row>
    <row r="17" spans="1:6" x14ac:dyDescent="0.2">
      <c r="A17" s="25" t="s">
        <v>179</v>
      </c>
      <c r="B17" s="49" t="s">
        <v>8</v>
      </c>
      <c r="C17" s="35" t="s">
        <v>801</v>
      </c>
      <c r="D17" s="35" t="s">
        <v>99</v>
      </c>
      <c r="E17" s="50">
        <v>8</v>
      </c>
      <c r="F17" s="50">
        <v>25</v>
      </c>
    </row>
    <row r="18" spans="1:6" x14ac:dyDescent="0.2">
      <c r="A18" s="25" t="s">
        <v>233</v>
      </c>
      <c r="B18" s="49" t="s">
        <v>8</v>
      </c>
      <c r="C18" s="35" t="s">
        <v>801</v>
      </c>
      <c r="D18" s="35" t="s">
        <v>65</v>
      </c>
      <c r="E18" s="50">
        <v>7</v>
      </c>
      <c r="F18" s="50">
        <v>5</v>
      </c>
    </row>
    <row r="19" spans="1:6" x14ac:dyDescent="0.2">
      <c r="A19" s="25" t="s">
        <v>195</v>
      </c>
      <c r="B19" s="49" t="s">
        <v>8</v>
      </c>
      <c r="C19" s="35" t="s">
        <v>801</v>
      </c>
      <c r="D19" s="35" t="s">
        <v>95</v>
      </c>
      <c r="E19" s="50">
        <v>7</v>
      </c>
      <c r="F19" s="50">
        <v>15</v>
      </c>
    </row>
    <row r="20" spans="1:6" x14ac:dyDescent="0.2">
      <c r="A20" s="25" t="s">
        <v>188</v>
      </c>
      <c r="B20" s="49" t="s">
        <v>8</v>
      </c>
      <c r="C20" s="35" t="s">
        <v>801</v>
      </c>
      <c r="D20" s="35" t="s">
        <v>65</v>
      </c>
      <c r="E20" s="50">
        <v>7</v>
      </c>
      <c r="F20" s="50">
        <v>20</v>
      </c>
    </row>
    <row r="21" spans="1:6" x14ac:dyDescent="0.2">
      <c r="A21" s="25" t="s">
        <v>220</v>
      </c>
      <c r="B21" s="49" t="s">
        <v>8</v>
      </c>
      <c r="C21" s="35" t="s">
        <v>801</v>
      </c>
      <c r="D21" s="35" t="s">
        <v>164</v>
      </c>
      <c r="E21" s="50">
        <v>6</v>
      </c>
      <c r="F21" s="50">
        <v>10</v>
      </c>
    </row>
    <row r="22" spans="1:6" x14ac:dyDescent="0.2">
      <c r="A22" s="25" t="s">
        <v>198</v>
      </c>
      <c r="B22" s="49" t="s">
        <v>8</v>
      </c>
      <c r="C22" s="35" t="s">
        <v>801</v>
      </c>
      <c r="D22" s="35" t="s">
        <v>199</v>
      </c>
      <c r="E22" s="50">
        <v>6</v>
      </c>
      <c r="F22" s="50">
        <v>14</v>
      </c>
    </row>
    <row r="23" spans="1:6" x14ac:dyDescent="0.2">
      <c r="A23" s="25" t="s">
        <v>213</v>
      </c>
      <c r="B23" s="49" t="s">
        <v>8</v>
      </c>
      <c r="C23" s="35" t="s">
        <v>801</v>
      </c>
      <c r="D23" s="35" t="s">
        <v>84</v>
      </c>
      <c r="E23" s="50">
        <v>5</v>
      </c>
      <c r="F23" s="50">
        <v>10</v>
      </c>
    </row>
    <row r="24" spans="1:6" x14ac:dyDescent="0.2">
      <c r="A24" s="25" t="s">
        <v>205</v>
      </c>
      <c r="B24" s="49" t="s">
        <v>8</v>
      </c>
      <c r="C24" s="35" t="s">
        <v>801</v>
      </c>
      <c r="D24" s="35" t="s">
        <v>206</v>
      </c>
      <c r="E24" s="50">
        <v>5</v>
      </c>
      <c r="F24" s="50">
        <v>12</v>
      </c>
    </row>
    <row r="25" spans="1:6" x14ac:dyDescent="0.2">
      <c r="A25" s="25" t="s">
        <v>223</v>
      </c>
      <c r="B25" s="49" t="s">
        <v>8</v>
      </c>
      <c r="C25" s="35" t="s">
        <v>801</v>
      </c>
      <c r="D25" s="35" t="s">
        <v>69</v>
      </c>
      <c r="E25" s="50">
        <v>4</v>
      </c>
      <c r="F25" s="50">
        <v>8</v>
      </c>
    </row>
    <row r="26" spans="1:6" x14ac:dyDescent="0.2">
      <c r="A26" s="25" t="s">
        <v>217</v>
      </c>
      <c r="B26" s="49" t="s">
        <v>8</v>
      </c>
      <c r="C26" s="35" t="s">
        <v>801</v>
      </c>
      <c r="D26" s="35" t="s">
        <v>69</v>
      </c>
      <c r="E26" s="50">
        <v>2</v>
      </c>
      <c r="F26" s="50">
        <v>8</v>
      </c>
    </row>
    <row r="27" spans="1:6" x14ac:dyDescent="0.2">
      <c r="A27" s="25" t="s">
        <v>39</v>
      </c>
      <c r="B27" s="49" t="s">
        <v>8</v>
      </c>
      <c r="C27" s="35" t="s">
        <v>801</v>
      </c>
      <c r="D27" s="35" t="s">
        <v>40</v>
      </c>
      <c r="E27" s="50">
        <v>2</v>
      </c>
      <c r="F27" s="50">
        <v>5</v>
      </c>
    </row>
    <row r="28" spans="1:6" x14ac:dyDescent="0.2">
      <c r="A28" s="25" t="s">
        <v>802</v>
      </c>
      <c r="B28" s="49" t="s">
        <v>8</v>
      </c>
      <c r="C28" s="35" t="s">
        <v>801</v>
      </c>
      <c r="D28" s="35" t="s">
        <v>153</v>
      </c>
      <c r="E28" s="50">
        <v>1</v>
      </c>
      <c r="F28" s="50">
        <v>1</v>
      </c>
    </row>
    <row r="29" spans="1:6" x14ac:dyDescent="0.2">
      <c r="A29" s="25" t="s">
        <v>803</v>
      </c>
      <c r="B29" s="49" t="s">
        <v>8</v>
      </c>
      <c r="C29" s="35" t="s">
        <v>801</v>
      </c>
      <c r="D29" s="35" t="s">
        <v>84</v>
      </c>
      <c r="E29" s="50">
        <v>1</v>
      </c>
      <c r="F29" s="50">
        <v>1</v>
      </c>
    </row>
    <row r="30" spans="1:6" x14ac:dyDescent="0.2">
      <c r="A30" s="25" t="s">
        <v>804</v>
      </c>
      <c r="B30" s="49" t="s">
        <v>8</v>
      </c>
      <c r="C30" s="35" t="s">
        <v>801</v>
      </c>
      <c r="D30" s="35" t="s">
        <v>65</v>
      </c>
      <c r="E30" s="50">
        <v>1</v>
      </c>
      <c r="F30" s="50">
        <v>1</v>
      </c>
    </row>
    <row r="31" spans="1:6" x14ac:dyDescent="0.2">
      <c r="A31" s="25" t="s">
        <v>805</v>
      </c>
      <c r="B31" s="49" t="s">
        <v>8</v>
      </c>
      <c r="C31" s="35" t="s">
        <v>801</v>
      </c>
      <c r="D31" s="35" t="s">
        <v>36</v>
      </c>
      <c r="E31" s="50">
        <v>1</v>
      </c>
      <c r="F31" s="50">
        <v>1</v>
      </c>
    </row>
    <row r="32" spans="1:6" x14ac:dyDescent="0.2">
      <c r="A32" s="25" t="s">
        <v>806</v>
      </c>
      <c r="B32" s="49" t="s">
        <v>8</v>
      </c>
      <c r="C32" s="35" t="s">
        <v>801</v>
      </c>
      <c r="D32" s="35" t="s">
        <v>40</v>
      </c>
      <c r="E32" s="50">
        <v>1</v>
      </c>
      <c r="F32" s="50">
        <v>1</v>
      </c>
    </row>
    <row r="33" spans="1:6" x14ac:dyDescent="0.2">
      <c r="A33" s="25" t="s">
        <v>807</v>
      </c>
      <c r="B33" s="49" t="s">
        <v>8</v>
      </c>
      <c r="C33" s="35" t="s">
        <v>801</v>
      </c>
      <c r="D33" s="35" t="s">
        <v>36</v>
      </c>
      <c r="E33" s="50">
        <v>1</v>
      </c>
      <c r="F33" s="50">
        <v>1</v>
      </c>
    </row>
    <row r="34" spans="1:6" x14ac:dyDescent="0.2">
      <c r="A34" s="25" t="s">
        <v>808</v>
      </c>
      <c r="B34" s="49" t="s">
        <v>8</v>
      </c>
      <c r="C34" s="35" t="s">
        <v>801</v>
      </c>
      <c r="D34" s="35" t="s">
        <v>199</v>
      </c>
      <c r="E34" s="50">
        <v>1</v>
      </c>
      <c r="F34" s="50">
        <v>1</v>
      </c>
    </row>
    <row r="35" spans="1:6" x14ac:dyDescent="0.2">
      <c r="A35" s="25" t="s">
        <v>809</v>
      </c>
      <c r="B35" s="49" t="s">
        <v>8</v>
      </c>
      <c r="C35" s="35" t="s">
        <v>801</v>
      </c>
      <c r="D35" s="35" t="s">
        <v>61</v>
      </c>
      <c r="E35" s="50">
        <v>1</v>
      </c>
      <c r="F35" s="50">
        <v>1</v>
      </c>
    </row>
    <row r="36" spans="1:6" x14ac:dyDescent="0.2">
      <c r="A36" s="25" t="s">
        <v>810</v>
      </c>
      <c r="B36" s="49" t="s">
        <v>8</v>
      </c>
      <c r="C36" s="35" t="s">
        <v>801</v>
      </c>
      <c r="D36" s="35" t="s">
        <v>153</v>
      </c>
      <c r="E36" s="50">
        <v>1</v>
      </c>
      <c r="F36" s="50">
        <v>1</v>
      </c>
    </row>
    <row r="37" spans="1:6" x14ac:dyDescent="0.2">
      <c r="A37" s="25" t="s">
        <v>811</v>
      </c>
      <c r="B37" s="49" t="s">
        <v>8</v>
      </c>
      <c r="C37" s="35" t="s">
        <v>801</v>
      </c>
      <c r="D37" s="35" t="s">
        <v>69</v>
      </c>
      <c r="E37" s="50">
        <v>1</v>
      </c>
      <c r="F37" s="50">
        <v>1</v>
      </c>
    </row>
    <row r="38" spans="1:6" x14ac:dyDescent="0.2">
      <c r="A38" s="25" t="s">
        <v>812</v>
      </c>
      <c r="B38" s="49" t="s">
        <v>8</v>
      </c>
      <c r="C38" s="35" t="s">
        <v>801</v>
      </c>
      <c r="D38" s="35" t="s">
        <v>44</v>
      </c>
      <c r="E38" s="50">
        <v>1</v>
      </c>
      <c r="F38" s="50">
        <v>1</v>
      </c>
    </row>
    <row r="39" spans="1:6" x14ac:dyDescent="0.2">
      <c r="A39" s="25" t="s">
        <v>813</v>
      </c>
      <c r="B39" s="49" t="s">
        <v>8</v>
      </c>
      <c r="C39" s="35" t="s">
        <v>801</v>
      </c>
      <c r="D39" s="35" t="s">
        <v>88</v>
      </c>
      <c r="E39" s="50">
        <v>1</v>
      </c>
      <c r="F39" s="50">
        <v>1</v>
      </c>
    </row>
    <row r="40" spans="1:6" x14ac:dyDescent="0.2">
      <c r="A40" s="25" t="s">
        <v>814</v>
      </c>
      <c r="B40" s="49" t="s">
        <v>8</v>
      </c>
      <c r="C40" s="35" t="s">
        <v>801</v>
      </c>
      <c r="D40" s="35" t="s">
        <v>185</v>
      </c>
      <c r="E40" s="50">
        <v>1</v>
      </c>
      <c r="F40" s="50">
        <v>1</v>
      </c>
    </row>
    <row r="41" spans="1:6" x14ac:dyDescent="0.2">
      <c r="A41" s="25" t="s">
        <v>43</v>
      </c>
      <c r="B41" s="49" t="s">
        <v>8</v>
      </c>
      <c r="C41" s="35" t="s">
        <v>801</v>
      </c>
      <c r="D41" s="35" t="s">
        <v>44</v>
      </c>
      <c r="E41" s="50">
        <v>1</v>
      </c>
      <c r="F41" s="50">
        <v>1</v>
      </c>
    </row>
    <row r="42" spans="1:6" x14ac:dyDescent="0.2">
      <c r="A42" s="25" t="s">
        <v>815</v>
      </c>
      <c r="B42" s="49" t="s">
        <v>8</v>
      </c>
      <c r="C42" s="35" t="s">
        <v>801</v>
      </c>
      <c r="D42" s="35" t="s">
        <v>61</v>
      </c>
      <c r="E42" s="50">
        <v>1</v>
      </c>
      <c r="F42" s="50">
        <v>1</v>
      </c>
    </row>
    <row r="43" spans="1:6" x14ac:dyDescent="0.2">
      <c r="A43" s="25" t="s">
        <v>816</v>
      </c>
      <c r="B43" s="49" t="s">
        <v>8</v>
      </c>
      <c r="C43" s="35" t="s">
        <v>801</v>
      </c>
      <c r="D43" s="35" t="s">
        <v>185</v>
      </c>
      <c r="E43" s="50">
        <v>1</v>
      </c>
      <c r="F43" s="50">
        <v>1</v>
      </c>
    </row>
    <row r="44" spans="1:6" x14ac:dyDescent="0.2">
      <c r="A44" s="25" t="s">
        <v>817</v>
      </c>
      <c r="B44" s="49" t="s">
        <v>8</v>
      </c>
      <c r="C44" s="35" t="s">
        <v>801</v>
      </c>
      <c r="D44" s="35" t="s">
        <v>164</v>
      </c>
      <c r="E44" s="50">
        <v>1</v>
      </c>
      <c r="F44" s="50">
        <v>1</v>
      </c>
    </row>
    <row r="45" spans="1:6" x14ac:dyDescent="0.2">
      <c r="A45" s="25" t="s">
        <v>818</v>
      </c>
      <c r="B45" s="49" t="s">
        <v>8</v>
      </c>
      <c r="C45" s="35" t="s">
        <v>801</v>
      </c>
      <c r="D45" s="35" t="s">
        <v>206</v>
      </c>
      <c r="E45" s="50">
        <v>1</v>
      </c>
      <c r="F45" s="50">
        <v>1</v>
      </c>
    </row>
    <row r="46" spans="1:6" x14ac:dyDescent="0.2">
      <c r="A46" s="25" t="s">
        <v>819</v>
      </c>
      <c r="B46" s="49" t="s">
        <v>8</v>
      </c>
      <c r="C46" s="35" t="s">
        <v>801</v>
      </c>
      <c r="D46" s="35" t="s">
        <v>199</v>
      </c>
      <c r="E46" s="50">
        <v>1</v>
      </c>
      <c r="F46" s="50">
        <v>1</v>
      </c>
    </row>
    <row r="47" spans="1:6" x14ac:dyDescent="0.2">
      <c r="A47" s="25" t="s">
        <v>820</v>
      </c>
      <c r="B47" s="49" t="s">
        <v>8</v>
      </c>
      <c r="C47" s="35" t="s">
        <v>801</v>
      </c>
      <c r="D47" s="35" t="s">
        <v>88</v>
      </c>
      <c r="E47" s="50">
        <v>1</v>
      </c>
      <c r="F47" s="50">
        <v>1</v>
      </c>
    </row>
    <row r="48" spans="1:6" x14ac:dyDescent="0.2">
      <c r="A48" s="25" t="s">
        <v>821</v>
      </c>
      <c r="B48" s="49" t="s">
        <v>8</v>
      </c>
      <c r="C48" s="35" t="s">
        <v>801</v>
      </c>
      <c r="D48" s="35" t="s">
        <v>95</v>
      </c>
      <c r="E48" s="50">
        <v>1</v>
      </c>
      <c r="F48" s="50">
        <v>1</v>
      </c>
    </row>
    <row r="49" spans="1:6" x14ac:dyDescent="0.2">
      <c r="A49" s="25" t="s">
        <v>822</v>
      </c>
      <c r="B49" s="49" t="s">
        <v>8</v>
      </c>
      <c r="C49" s="35" t="s">
        <v>801</v>
      </c>
      <c r="D49" s="35" t="s">
        <v>99</v>
      </c>
      <c r="E49" s="50">
        <v>1</v>
      </c>
      <c r="F49" s="50">
        <v>1</v>
      </c>
    </row>
    <row r="50" spans="1:6" x14ac:dyDescent="0.2">
      <c r="A50" s="25" t="s">
        <v>823</v>
      </c>
      <c r="B50" s="49" t="s">
        <v>8</v>
      </c>
      <c r="C50" s="35" t="s">
        <v>801</v>
      </c>
      <c r="D50" s="35" t="s">
        <v>95</v>
      </c>
      <c r="E50" s="50">
        <v>1</v>
      </c>
      <c r="F50" s="50">
        <v>1</v>
      </c>
    </row>
    <row r="51" spans="1:6" x14ac:dyDescent="0.2">
      <c r="A51" s="25" t="s">
        <v>242</v>
      </c>
      <c r="B51" s="49" t="s">
        <v>8</v>
      </c>
      <c r="C51" s="35" t="s">
        <v>801</v>
      </c>
      <c r="D51" s="35" t="s">
        <v>172</v>
      </c>
      <c r="E51" s="50">
        <v>1</v>
      </c>
      <c r="F51" s="50">
        <v>1</v>
      </c>
    </row>
    <row r="52" spans="1:6" x14ac:dyDescent="0.2">
      <c r="A52" s="25" t="s">
        <v>824</v>
      </c>
      <c r="B52" s="49" t="s">
        <v>8</v>
      </c>
      <c r="C52" s="35" t="s">
        <v>801</v>
      </c>
      <c r="D52" s="35" t="s">
        <v>44</v>
      </c>
      <c r="E52" s="50">
        <v>1</v>
      </c>
      <c r="F52" s="50">
        <v>1</v>
      </c>
    </row>
    <row r="53" spans="1:6" x14ac:dyDescent="0.2">
      <c r="A53" s="25" t="s">
        <v>825</v>
      </c>
      <c r="B53" s="49" t="s">
        <v>8</v>
      </c>
      <c r="C53" s="35" t="s">
        <v>801</v>
      </c>
      <c r="D53" s="35" t="s">
        <v>57</v>
      </c>
      <c r="E53" s="50">
        <v>1</v>
      </c>
      <c r="F53" s="50">
        <v>1</v>
      </c>
    </row>
    <row r="54" spans="1:6" x14ac:dyDescent="0.2">
      <c r="A54" s="25" t="s">
        <v>230</v>
      </c>
      <c r="B54" s="49" t="s">
        <v>8</v>
      </c>
      <c r="C54" s="35" t="s">
        <v>801</v>
      </c>
      <c r="D54" s="35" t="s">
        <v>73</v>
      </c>
      <c r="E54" s="50">
        <v>1</v>
      </c>
      <c r="F54" s="50">
        <v>1</v>
      </c>
    </row>
    <row r="55" spans="1:6" x14ac:dyDescent="0.2">
      <c r="A55" s="25" t="s">
        <v>826</v>
      </c>
      <c r="B55" s="49" t="s">
        <v>8</v>
      </c>
      <c r="C55" s="35" t="s">
        <v>801</v>
      </c>
      <c r="D55" s="35" t="s">
        <v>57</v>
      </c>
      <c r="E55" s="50">
        <v>1</v>
      </c>
      <c r="F55" s="50">
        <v>1</v>
      </c>
    </row>
    <row r="56" spans="1:6" x14ac:dyDescent="0.2">
      <c r="A56" s="25" t="s">
        <v>827</v>
      </c>
      <c r="B56" s="49" t="s">
        <v>8</v>
      </c>
      <c r="C56" s="35" t="s">
        <v>801</v>
      </c>
      <c r="D56" s="35" t="s">
        <v>206</v>
      </c>
      <c r="E56" s="50">
        <v>1</v>
      </c>
      <c r="F56" s="50">
        <v>1</v>
      </c>
    </row>
    <row r="57" spans="1:6" x14ac:dyDescent="0.2">
      <c r="A57" s="25" t="s">
        <v>236</v>
      </c>
      <c r="B57" s="49" t="s">
        <v>8</v>
      </c>
      <c r="C57" s="35" t="s">
        <v>801</v>
      </c>
      <c r="D57" s="35" t="s">
        <v>149</v>
      </c>
      <c r="E57" s="50">
        <v>1</v>
      </c>
      <c r="F57" s="50">
        <v>1</v>
      </c>
    </row>
    <row r="58" spans="1:6" x14ac:dyDescent="0.2">
      <c r="A58" s="25" t="s">
        <v>828</v>
      </c>
      <c r="B58" s="49" t="s">
        <v>8</v>
      </c>
      <c r="C58" s="35" t="s">
        <v>801</v>
      </c>
      <c r="D58" s="35" t="s">
        <v>77</v>
      </c>
      <c r="E58" s="50">
        <v>1</v>
      </c>
      <c r="F58" s="50">
        <v>1</v>
      </c>
    </row>
    <row r="59" spans="1:6" x14ac:dyDescent="0.2">
      <c r="A59" s="25" t="s">
        <v>829</v>
      </c>
      <c r="B59" s="49" t="s">
        <v>8</v>
      </c>
      <c r="C59" s="35" t="s">
        <v>801</v>
      </c>
      <c r="D59" s="35" t="s">
        <v>149</v>
      </c>
      <c r="E59" s="50">
        <v>1</v>
      </c>
      <c r="F59" s="50">
        <v>1</v>
      </c>
    </row>
    <row r="60" spans="1:6" x14ac:dyDescent="0.2">
      <c r="A60" s="25" t="s">
        <v>226</v>
      </c>
      <c r="B60" s="49" t="s">
        <v>8</v>
      </c>
      <c r="C60" s="35" t="s">
        <v>801</v>
      </c>
      <c r="D60" s="35" t="s">
        <v>95</v>
      </c>
      <c r="E60" s="50">
        <v>1</v>
      </c>
      <c r="F60" s="50">
        <v>3</v>
      </c>
    </row>
    <row r="61" spans="1:6" x14ac:dyDescent="0.2">
      <c r="A61" s="25" t="s">
        <v>830</v>
      </c>
      <c r="B61" s="49" t="s">
        <v>8</v>
      </c>
      <c r="C61" s="35" t="s">
        <v>801</v>
      </c>
      <c r="D61" s="35" t="s">
        <v>77</v>
      </c>
      <c r="E61" s="50">
        <v>1</v>
      </c>
      <c r="F61" s="50">
        <v>1</v>
      </c>
    </row>
    <row r="62" spans="1:6" x14ac:dyDescent="0.2">
      <c r="A62" s="25" t="s">
        <v>239</v>
      </c>
      <c r="B62" s="49" t="s">
        <v>8</v>
      </c>
      <c r="C62" s="35" t="s">
        <v>801</v>
      </c>
      <c r="D62" s="35" t="s">
        <v>73</v>
      </c>
      <c r="E62" s="50">
        <v>1</v>
      </c>
      <c r="F62" s="50">
        <v>1</v>
      </c>
    </row>
    <row r="63" spans="1:6" x14ac:dyDescent="0.2">
      <c r="A63" s="25" t="s">
        <v>47</v>
      </c>
      <c r="B63" s="51" t="s">
        <v>10</v>
      </c>
      <c r="C63" s="35" t="s">
        <v>831</v>
      </c>
      <c r="D63" s="35" t="s">
        <v>40</v>
      </c>
      <c r="E63" s="50">
        <v>32</v>
      </c>
      <c r="F63" s="50">
        <v>265</v>
      </c>
    </row>
    <row r="64" spans="1:6" x14ac:dyDescent="0.2">
      <c r="A64" s="25" t="s">
        <v>50</v>
      </c>
      <c r="B64" s="51" t="s">
        <v>10</v>
      </c>
      <c r="C64" s="35" t="s">
        <v>832</v>
      </c>
      <c r="D64" s="35" t="s">
        <v>36</v>
      </c>
      <c r="E64" s="50">
        <v>17</v>
      </c>
      <c r="F64" s="50">
        <v>83</v>
      </c>
    </row>
    <row r="65" spans="1:6" x14ac:dyDescent="0.2">
      <c r="A65" s="25" t="s">
        <v>53</v>
      </c>
      <c r="B65" s="51" t="s">
        <v>10</v>
      </c>
      <c r="C65" s="35" t="s">
        <v>833</v>
      </c>
      <c r="D65" s="35" t="s">
        <v>40</v>
      </c>
      <c r="E65" s="50">
        <v>16</v>
      </c>
      <c r="F65" s="50">
        <v>55</v>
      </c>
    </row>
    <row r="66" spans="1:6" x14ac:dyDescent="0.2">
      <c r="A66" s="25" t="s">
        <v>251</v>
      </c>
      <c r="B66" s="51" t="s">
        <v>10</v>
      </c>
      <c r="C66" s="35" t="s">
        <v>833</v>
      </c>
      <c r="D66" s="35" t="s">
        <v>164</v>
      </c>
      <c r="E66" s="50">
        <v>15</v>
      </c>
      <c r="F66" s="50">
        <v>50</v>
      </c>
    </row>
    <row r="67" spans="1:6" x14ac:dyDescent="0.2">
      <c r="A67" s="25" t="s">
        <v>254</v>
      </c>
      <c r="B67" s="51" t="s">
        <v>10</v>
      </c>
      <c r="C67" s="35" t="s">
        <v>833</v>
      </c>
      <c r="D67" s="35" t="s">
        <v>36</v>
      </c>
      <c r="E67" s="50">
        <v>15</v>
      </c>
      <c r="F67" s="50">
        <v>49</v>
      </c>
    </row>
    <row r="68" spans="1:6" x14ac:dyDescent="0.2">
      <c r="A68" s="25" t="s">
        <v>262</v>
      </c>
      <c r="B68" s="51" t="s">
        <v>10</v>
      </c>
      <c r="C68" s="35" t="s">
        <v>833</v>
      </c>
      <c r="D68" s="35" t="s">
        <v>40</v>
      </c>
      <c r="E68" s="50">
        <v>14</v>
      </c>
      <c r="F68" s="50">
        <v>44</v>
      </c>
    </row>
    <row r="69" spans="1:6" x14ac:dyDescent="0.2">
      <c r="A69" s="25" t="s">
        <v>259</v>
      </c>
      <c r="B69" s="51" t="s">
        <v>10</v>
      </c>
      <c r="C69" s="35" t="s">
        <v>833</v>
      </c>
      <c r="D69" s="35" t="s">
        <v>149</v>
      </c>
      <c r="E69" s="50">
        <v>14</v>
      </c>
      <c r="F69" s="50">
        <v>48</v>
      </c>
    </row>
    <row r="70" spans="1:6" x14ac:dyDescent="0.2">
      <c r="A70" s="25" t="s">
        <v>265</v>
      </c>
      <c r="B70" s="51" t="s">
        <v>10</v>
      </c>
      <c r="C70" s="35" t="s">
        <v>833</v>
      </c>
      <c r="D70" s="35" t="s">
        <v>84</v>
      </c>
      <c r="E70" s="50">
        <v>14</v>
      </c>
      <c r="F70" s="50">
        <v>47</v>
      </c>
    </row>
    <row r="71" spans="1:6" x14ac:dyDescent="0.2">
      <c r="A71" s="25" t="s">
        <v>317</v>
      </c>
      <c r="B71" s="51" t="s">
        <v>10</v>
      </c>
      <c r="C71" s="35" t="s">
        <v>834</v>
      </c>
      <c r="D71" s="35" t="s">
        <v>164</v>
      </c>
      <c r="E71" s="50">
        <v>13</v>
      </c>
      <c r="F71" s="50">
        <v>46</v>
      </c>
    </row>
    <row r="72" spans="1:6" x14ac:dyDescent="0.2">
      <c r="A72" s="25" t="s">
        <v>274</v>
      </c>
      <c r="B72" s="51" t="s">
        <v>10</v>
      </c>
      <c r="C72" s="35" t="s">
        <v>833</v>
      </c>
      <c r="D72" s="35" t="s">
        <v>36</v>
      </c>
      <c r="E72" s="50">
        <v>13</v>
      </c>
      <c r="F72" s="50">
        <v>44</v>
      </c>
    </row>
    <row r="73" spans="1:6" x14ac:dyDescent="0.2">
      <c r="A73" s="25" t="s">
        <v>271</v>
      </c>
      <c r="B73" s="51" t="s">
        <v>10</v>
      </c>
      <c r="C73" s="35" t="s">
        <v>833</v>
      </c>
      <c r="D73" s="35" t="s">
        <v>185</v>
      </c>
      <c r="E73" s="50">
        <v>13</v>
      </c>
      <c r="F73" s="50">
        <v>46</v>
      </c>
    </row>
    <row r="74" spans="1:6" x14ac:dyDescent="0.2">
      <c r="A74" s="25" t="s">
        <v>280</v>
      </c>
      <c r="B74" s="51" t="s">
        <v>10</v>
      </c>
      <c r="C74" s="35" t="s">
        <v>835</v>
      </c>
      <c r="D74" s="35" t="s">
        <v>84</v>
      </c>
      <c r="E74" s="50">
        <v>12</v>
      </c>
      <c r="F74" s="50">
        <v>40</v>
      </c>
    </row>
    <row r="75" spans="1:6" x14ac:dyDescent="0.2">
      <c r="A75" s="25" t="s">
        <v>324</v>
      </c>
      <c r="B75" s="51" t="s">
        <v>10</v>
      </c>
      <c r="C75" s="35" t="s">
        <v>833</v>
      </c>
      <c r="D75" s="35" t="s">
        <v>149</v>
      </c>
      <c r="E75" s="50">
        <v>12</v>
      </c>
      <c r="F75" s="50">
        <v>31</v>
      </c>
    </row>
    <row r="76" spans="1:6" x14ac:dyDescent="0.2">
      <c r="A76" s="25" t="s">
        <v>321</v>
      </c>
      <c r="B76" s="51" t="s">
        <v>10</v>
      </c>
      <c r="C76" s="35" t="s">
        <v>833</v>
      </c>
      <c r="D76" s="35" t="s">
        <v>40</v>
      </c>
      <c r="E76" s="50">
        <v>12</v>
      </c>
      <c r="F76" s="50">
        <v>38</v>
      </c>
    </row>
    <row r="77" spans="1:6" x14ac:dyDescent="0.2">
      <c r="A77" s="25" t="s">
        <v>268</v>
      </c>
      <c r="B77" s="51" t="s">
        <v>10</v>
      </c>
      <c r="C77" s="35" t="s">
        <v>833</v>
      </c>
      <c r="D77" s="35" t="s">
        <v>40</v>
      </c>
      <c r="E77" s="50">
        <v>11</v>
      </c>
      <c r="F77" s="50">
        <v>33</v>
      </c>
    </row>
    <row r="78" spans="1:6" x14ac:dyDescent="0.2">
      <c r="A78" s="25" t="s">
        <v>56</v>
      </c>
      <c r="B78" s="51" t="s">
        <v>10</v>
      </c>
      <c r="C78" s="35" t="s">
        <v>833</v>
      </c>
      <c r="D78" s="35" t="s">
        <v>57</v>
      </c>
      <c r="E78" s="50">
        <v>11</v>
      </c>
      <c r="F78" s="50">
        <v>40</v>
      </c>
    </row>
    <row r="79" spans="1:6" x14ac:dyDescent="0.2">
      <c r="A79" s="25" t="s">
        <v>283</v>
      </c>
      <c r="B79" s="51" t="s">
        <v>10</v>
      </c>
      <c r="C79" s="35" t="s">
        <v>835</v>
      </c>
      <c r="D79" s="35" t="s">
        <v>153</v>
      </c>
      <c r="E79" s="50">
        <v>10</v>
      </c>
      <c r="F79" s="50">
        <v>30</v>
      </c>
    </row>
    <row r="80" spans="1:6" x14ac:dyDescent="0.2">
      <c r="A80" s="25" t="s">
        <v>340</v>
      </c>
      <c r="B80" s="51" t="s">
        <v>10</v>
      </c>
      <c r="C80" s="35" t="s">
        <v>833</v>
      </c>
      <c r="D80" s="35" t="s">
        <v>36</v>
      </c>
      <c r="E80" s="50">
        <v>10</v>
      </c>
      <c r="F80" s="50">
        <v>26</v>
      </c>
    </row>
    <row r="81" spans="1:6" x14ac:dyDescent="0.2">
      <c r="A81" s="25" t="s">
        <v>329</v>
      </c>
      <c r="B81" s="51" t="s">
        <v>10</v>
      </c>
      <c r="C81" s="35" t="s">
        <v>833</v>
      </c>
      <c r="D81" s="35" t="s">
        <v>77</v>
      </c>
      <c r="E81" s="50">
        <v>10</v>
      </c>
      <c r="F81" s="50">
        <v>32</v>
      </c>
    </row>
    <row r="82" spans="1:6" x14ac:dyDescent="0.2">
      <c r="A82" s="25" t="s">
        <v>337</v>
      </c>
      <c r="B82" s="51" t="s">
        <v>10</v>
      </c>
      <c r="C82" s="35" t="s">
        <v>833</v>
      </c>
      <c r="D82" s="35" t="s">
        <v>73</v>
      </c>
      <c r="E82" s="50">
        <v>10</v>
      </c>
      <c r="F82" s="50">
        <v>28</v>
      </c>
    </row>
    <row r="83" spans="1:6" x14ac:dyDescent="0.2">
      <c r="A83" s="25" t="s">
        <v>286</v>
      </c>
      <c r="B83" s="51" t="s">
        <v>10</v>
      </c>
      <c r="C83" s="35" t="s">
        <v>836</v>
      </c>
      <c r="D83" s="35" t="s">
        <v>164</v>
      </c>
      <c r="E83" s="50">
        <v>9</v>
      </c>
      <c r="F83" s="50">
        <v>27</v>
      </c>
    </row>
    <row r="84" spans="1:6" x14ac:dyDescent="0.2">
      <c r="A84" s="25" t="s">
        <v>351</v>
      </c>
      <c r="B84" s="51" t="s">
        <v>10</v>
      </c>
      <c r="C84" s="35" t="s">
        <v>834</v>
      </c>
      <c r="D84" s="35" t="s">
        <v>77</v>
      </c>
      <c r="E84" s="50">
        <v>9</v>
      </c>
      <c r="F84" s="50">
        <v>26</v>
      </c>
    </row>
    <row r="85" spans="1:6" x14ac:dyDescent="0.2">
      <c r="A85" s="25" t="s">
        <v>354</v>
      </c>
      <c r="B85" s="51" t="s">
        <v>10</v>
      </c>
      <c r="C85" s="35" t="s">
        <v>837</v>
      </c>
      <c r="D85" s="35" t="s">
        <v>57</v>
      </c>
      <c r="E85" s="50">
        <v>9</v>
      </c>
      <c r="F85" s="50">
        <v>33</v>
      </c>
    </row>
    <row r="86" spans="1:6" x14ac:dyDescent="0.2">
      <c r="A86" s="25" t="s">
        <v>307</v>
      </c>
      <c r="B86" s="51" t="s">
        <v>10</v>
      </c>
      <c r="C86" s="35" t="s">
        <v>838</v>
      </c>
      <c r="D86" s="35" t="s">
        <v>149</v>
      </c>
      <c r="E86" s="50">
        <v>8</v>
      </c>
      <c r="F86" s="50">
        <v>25</v>
      </c>
    </row>
    <row r="87" spans="1:6" x14ac:dyDescent="0.2">
      <c r="A87" s="25" t="s">
        <v>387</v>
      </c>
      <c r="B87" s="51" t="s">
        <v>10</v>
      </c>
      <c r="C87" s="35" t="s">
        <v>839</v>
      </c>
      <c r="D87" s="35" t="s">
        <v>164</v>
      </c>
      <c r="E87" s="50">
        <v>8</v>
      </c>
      <c r="F87" s="50">
        <v>21</v>
      </c>
    </row>
    <row r="88" spans="1:6" x14ac:dyDescent="0.2">
      <c r="A88" s="25" t="s">
        <v>301</v>
      </c>
      <c r="B88" s="51" t="s">
        <v>10</v>
      </c>
      <c r="C88" s="35" t="s">
        <v>835</v>
      </c>
      <c r="D88" s="35" t="s">
        <v>77</v>
      </c>
      <c r="E88" s="50">
        <v>8</v>
      </c>
      <c r="F88" s="50">
        <v>27</v>
      </c>
    </row>
    <row r="89" spans="1:6" x14ac:dyDescent="0.2">
      <c r="A89" s="25" t="s">
        <v>64</v>
      </c>
      <c r="B89" s="51" t="s">
        <v>10</v>
      </c>
      <c r="C89" s="35" t="s">
        <v>839</v>
      </c>
      <c r="D89" s="35" t="s">
        <v>65</v>
      </c>
      <c r="E89" s="50">
        <v>8</v>
      </c>
      <c r="F89" s="50">
        <v>21</v>
      </c>
    </row>
    <row r="90" spans="1:6" x14ac:dyDescent="0.2">
      <c r="A90" s="25" t="s">
        <v>346</v>
      </c>
      <c r="B90" s="51" t="s">
        <v>10</v>
      </c>
      <c r="C90" s="35" t="s">
        <v>833</v>
      </c>
      <c r="D90" s="35" t="s">
        <v>153</v>
      </c>
      <c r="E90" s="50">
        <v>8</v>
      </c>
      <c r="F90" s="50">
        <v>27</v>
      </c>
    </row>
    <row r="91" spans="1:6" x14ac:dyDescent="0.2">
      <c r="A91" s="25" t="s">
        <v>72</v>
      </c>
      <c r="B91" s="51" t="s">
        <v>10</v>
      </c>
      <c r="C91" s="35" t="s">
        <v>833</v>
      </c>
      <c r="D91" s="35" t="s">
        <v>73</v>
      </c>
      <c r="E91" s="50">
        <v>8</v>
      </c>
      <c r="F91" s="50">
        <v>16</v>
      </c>
    </row>
    <row r="92" spans="1:6" x14ac:dyDescent="0.2">
      <c r="A92" s="25" t="s">
        <v>399</v>
      </c>
      <c r="B92" s="51" t="s">
        <v>10</v>
      </c>
      <c r="C92" s="35" t="s">
        <v>836</v>
      </c>
      <c r="D92" s="35" t="s">
        <v>153</v>
      </c>
      <c r="E92" s="50">
        <v>8</v>
      </c>
      <c r="F92" s="50">
        <v>23</v>
      </c>
    </row>
    <row r="93" spans="1:6" x14ac:dyDescent="0.2">
      <c r="A93" s="25" t="s">
        <v>357</v>
      </c>
      <c r="B93" s="51" t="s">
        <v>10</v>
      </c>
      <c r="C93" s="35" t="s">
        <v>833</v>
      </c>
      <c r="D93" s="35" t="s">
        <v>36</v>
      </c>
      <c r="E93" s="50">
        <v>8</v>
      </c>
      <c r="F93" s="50">
        <v>20</v>
      </c>
    </row>
    <row r="94" spans="1:6" x14ac:dyDescent="0.2">
      <c r="A94" s="25" t="s">
        <v>349</v>
      </c>
      <c r="B94" s="51" t="s">
        <v>10</v>
      </c>
      <c r="C94" s="35" t="s">
        <v>833</v>
      </c>
      <c r="D94" s="35" t="s">
        <v>61</v>
      </c>
      <c r="E94" s="50">
        <v>8</v>
      </c>
      <c r="F94" s="50">
        <v>18</v>
      </c>
    </row>
    <row r="95" spans="1:6" x14ac:dyDescent="0.2">
      <c r="A95" s="25" t="s">
        <v>343</v>
      </c>
      <c r="B95" s="51" t="s">
        <v>10</v>
      </c>
      <c r="C95" s="35" t="s">
        <v>833</v>
      </c>
      <c r="D95" s="35" t="s">
        <v>172</v>
      </c>
      <c r="E95" s="50">
        <v>8</v>
      </c>
      <c r="F95" s="50">
        <v>20</v>
      </c>
    </row>
    <row r="96" spans="1:6" x14ac:dyDescent="0.2">
      <c r="A96" s="25" t="s">
        <v>60</v>
      </c>
      <c r="B96" s="51" t="s">
        <v>10</v>
      </c>
      <c r="C96" s="35" t="s">
        <v>838</v>
      </c>
      <c r="D96" s="35" t="s">
        <v>61</v>
      </c>
      <c r="E96" s="50">
        <v>8</v>
      </c>
      <c r="F96" s="50">
        <v>24</v>
      </c>
    </row>
    <row r="97" spans="1:6" x14ac:dyDescent="0.2">
      <c r="A97" s="25" t="s">
        <v>369</v>
      </c>
      <c r="B97" s="51" t="s">
        <v>10</v>
      </c>
      <c r="C97" s="35" t="s">
        <v>835</v>
      </c>
      <c r="D97" s="35" t="s">
        <v>57</v>
      </c>
      <c r="E97" s="50">
        <v>8</v>
      </c>
      <c r="F97" s="50">
        <v>22</v>
      </c>
    </row>
    <row r="98" spans="1:6" x14ac:dyDescent="0.2">
      <c r="A98" s="25" t="s">
        <v>292</v>
      </c>
      <c r="B98" s="51" t="s">
        <v>10</v>
      </c>
      <c r="C98" s="35" t="s">
        <v>838</v>
      </c>
      <c r="D98" s="35" t="s">
        <v>84</v>
      </c>
      <c r="E98" s="50">
        <v>8</v>
      </c>
      <c r="F98" s="50">
        <v>24</v>
      </c>
    </row>
    <row r="99" spans="1:6" x14ac:dyDescent="0.2">
      <c r="A99" s="25" t="s">
        <v>297</v>
      </c>
      <c r="B99" s="51" t="s">
        <v>10</v>
      </c>
      <c r="C99" s="35" t="s">
        <v>838</v>
      </c>
      <c r="D99" s="35" t="s">
        <v>65</v>
      </c>
      <c r="E99" s="50">
        <v>8</v>
      </c>
      <c r="F99" s="50">
        <v>24</v>
      </c>
    </row>
    <row r="100" spans="1:6" x14ac:dyDescent="0.2">
      <c r="A100" s="25" t="s">
        <v>372</v>
      </c>
      <c r="B100" s="51" t="s">
        <v>10</v>
      </c>
      <c r="C100" s="35" t="s">
        <v>835</v>
      </c>
      <c r="D100" s="35" t="s">
        <v>185</v>
      </c>
      <c r="E100" s="50">
        <v>8</v>
      </c>
      <c r="F100" s="50">
        <v>19</v>
      </c>
    </row>
    <row r="101" spans="1:6" x14ac:dyDescent="0.2">
      <c r="A101" s="25" t="s">
        <v>289</v>
      </c>
      <c r="B101" s="51" t="s">
        <v>10</v>
      </c>
      <c r="C101" s="35" t="s">
        <v>835</v>
      </c>
      <c r="D101" s="35" t="s">
        <v>73</v>
      </c>
      <c r="E101" s="50">
        <v>8</v>
      </c>
      <c r="F101" s="50">
        <v>24</v>
      </c>
    </row>
    <row r="102" spans="1:6" x14ac:dyDescent="0.2">
      <c r="A102" s="25" t="s">
        <v>426</v>
      </c>
      <c r="B102" s="51" t="s">
        <v>10</v>
      </c>
      <c r="C102" s="35" t="s">
        <v>833</v>
      </c>
      <c r="D102" s="35" t="s">
        <v>84</v>
      </c>
      <c r="E102" s="50">
        <v>7</v>
      </c>
      <c r="F102" s="50">
        <v>18</v>
      </c>
    </row>
    <row r="103" spans="1:6" x14ac:dyDescent="0.2">
      <c r="A103" s="25" t="s">
        <v>840</v>
      </c>
      <c r="B103" s="51" t="s">
        <v>10</v>
      </c>
      <c r="C103" s="35" t="s">
        <v>841</v>
      </c>
      <c r="D103" s="35" t="s">
        <v>40</v>
      </c>
      <c r="E103" s="50">
        <v>7</v>
      </c>
      <c r="F103" s="50">
        <v>27</v>
      </c>
    </row>
    <row r="104" spans="1:6" x14ac:dyDescent="0.2">
      <c r="A104" s="25" t="s">
        <v>842</v>
      </c>
      <c r="B104" s="51" t="s">
        <v>10</v>
      </c>
      <c r="C104" s="35" t="s">
        <v>833</v>
      </c>
      <c r="D104" s="35" t="s">
        <v>44</v>
      </c>
      <c r="E104" s="50">
        <v>7</v>
      </c>
      <c r="F104" s="50">
        <v>18</v>
      </c>
    </row>
    <row r="105" spans="1:6" x14ac:dyDescent="0.2">
      <c r="A105" s="25" t="s">
        <v>843</v>
      </c>
      <c r="B105" s="51" t="s">
        <v>10</v>
      </c>
      <c r="C105" s="35" t="s">
        <v>833</v>
      </c>
      <c r="D105" s="35" t="s">
        <v>88</v>
      </c>
      <c r="E105" s="50">
        <v>7</v>
      </c>
      <c r="F105" s="50">
        <v>22</v>
      </c>
    </row>
    <row r="106" spans="1:6" x14ac:dyDescent="0.2">
      <c r="A106" s="25" t="s">
        <v>844</v>
      </c>
      <c r="B106" s="51" t="s">
        <v>10</v>
      </c>
      <c r="C106" s="35" t="s">
        <v>833</v>
      </c>
      <c r="D106" s="35" t="s">
        <v>149</v>
      </c>
      <c r="E106" s="50">
        <v>7</v>
      </c>
      <c r="F106" s="50">
        <v>23</v>
      </c>
    </row>
    <row r="107" spans="1:6" x14ac:dyDescent="0.2">
      <c r="A107" s="25" t="s">
        <v>845</v>
      </c>
      <c r="B107" s="51" t="s">
        <v>10</v>
      </c>
      <c r="C107" s="35" t="s">
        <v>833</v>
      </c>
      <c r="D107" s="35" t="s">
        <v>95</v>
      </c>
      <c r="E107" s="50">
        <v>7</v>
      </c>
      <c r="F107" s="50">
        <v>19</v>
      </c>
    </row>
    <row r="108" spans="1:6" x14ac:dyDescent="0.2">
      <c r="A108" s="25" t="s">
        <v>846</v>
      </c>
      <c r="B108" s="51" t="s">
        <v>10</v>
      </c>
      <c r="C108" s="35" t="s">
        <v>833</v>
      </c>
      <c r="D108" s="35" t="s">
        <v>44</v>
      </c>
      <c r="E108" s="50">
        <v>7</v>
      </c>
      <c r="F108" s="50">
        <v>18</v>
      </c>
    </row>
    <row r="109" spans="1:6" x14ac:dyDescent="0.2">
      <c r="A109" s="25" t="s">
        <v>847</v>
      </c>
      <c r="B109" s="51" t="s">
        <v>10</v>
      </c>
      <c r="C109" s="35" t="s">
        <v>838</v>
      </c>
      <c r="D109" s="35" t="s">
        <v>77</v>
      </c>
      <c r="E109" s="50">
        <v>7</v>
      </c>
      <c r="F109" s="50">
        <v>23</v>
      </c>
    </row>
    <row r="110" spans="1:6" x14ac:dyDescent="0.2">
      <c r="A110" s="25" t="s">
        <v>848</v>
      </c>
      <c r="B110" s="51" t="s">
        <v>10</v>
      </c>
      <c r="C110" s="35" t="s">
        <v>834</v>
      </c>
      <c r="D110" s="35" t="s">
        <v>185</v>
      </c>
      <c r="E110" s="50">
        <v>7</v>
      </c>
      <c r="F110" s="50">
        <v>15</v>
      </c>
    </row>
    <row r="111" spans="1:6" x14ac:dyDescent="0.2">
      <c r="A111" s="25" t="s">
        <v>849</v>
      </c>
      <c r="B111" s="51" t="s">
        <v>10</v>
      </c>
      <c r="C111" s="35" t="s">
        <v>841</v>
      </c>
      <c r="D111" s="35" t="s">
        <v>172</v>
      </c>
      <c r="E111" s="50">
        <v>7</v>
      </c>
      <c r="F111" s="50">
        <v>14</v>
      </c>
    </row>
    <row r="112" spans="1:6" x14ac:dyDescent="0.2">
      <c r="A112" s="25" t="s">
        <v>850</v>
      </c>
      <c r="B112" s="51" t="s">
        <v>10</v>
      </c>
      <c r="C112" s="35" t="s">
        <v>833</v>
      </c>
      <c r="D112" s="35" t="s">
        <v>88</v>
      </c>
      <c r="E112" s="50">
        <v>7</v>
      </c>
      <c r="F112" s="50">
        <v>24</v>
      </c>
    </row>
    <row r="113" spans="1:6" x14ac:dyDescent="0.2">
      <c r="A113" s="25" t="s">
        <v>851</v>
      </c>
      <c r="B113" s="51" t="s">
        <v>10</v>
      </c>
      <c r="C113" s="35" t="s">
        <v>833</v>
      </c>
      <c r="D113" s="35" t="s">
        <v>99</v>
      </c>
      <c r="E113" s="50">
        <v>7</v>
      </c>
      <c r="F113" s="50">
        <v>17</v>
      </c>
    </row>
    <row r="114" spans="1:6" x14ac:dyDescent="0.2">
      <c r="A114" s="25" t="s">
        <v>852</v>
      </c>
      <c r="B114" s="51" t="s">
        <v>10</v>
      </c>
      <c r="C114" s="35" t="s">
        <v>833</v>
      </c>
      <c r="D114" s="35" t="s">
        <v>149</v>
      </c>
      <c r="E114" s="50">
        <v>7</v>
      </c>
      <c r="F114" s="50">
        <v>20</v>
      </c>
    </row>
    <row r="115" spans="1:6" x14ac:dyDescent="0.2">
      <c r="A115" s="25" t="s">
        <v>853</v>
      </c>
      <c r="B115" s="51" t="s">
        <v>10</v>
      </c>
      <c r="C115" s="35" t="s">
        <v>841</v>
      </c>
      <c r="D115" s="35" t="s">
        <v>73</v>
      </c>
      <c r="E115" s="50">
        <v>6</v>
      </c>
      <c r="F115" s="50">
        <v>16</v>
      </c>
    </row>
    <row r="116" spans="1:6" x14ac:dyDescent="0.2">
      <c r="A116" s="25" t="s">
        <v>854</v>
      </c>
      <c r="B116" s="51" t="s">
        <v>10</v>
      </c>
      <c r="C116" s="35" t="s">
        <v>833</v>
      </c>
      <c r="D116" s="35" t="s">
        <v>199</v>
      </c>
      <c r="E116" s="50">
        <v>6</v>
      </c>
      <c r="F116" s="50">
        <v>13</v>
      </c>
    </row>
    <row r="117" spans="1:6" x14ac:dyDescent="0.2">
      <c r="A117" s="25" t="s">
        <v>304</v>
      </c>
      <c r="B117" s="51" t="s">
        <v>10</v>
      </c>
      <c r="C117" s="35" t="s">
        <v>835</v>
      </c>
      <c r="D117" s="35" t="s">
        <v>73</v>
      </c>
      <c r="E117" s="50">
        <v>6</v>
      </c>
      <c r="F117" s="50">
        <v>15</v>
      </c>
    </row>
    <row r="118" spans="1:6" x14ac:dyDescent="0.2">
      <c r="A118" s="25" t="s">
        <v>378</v>
      </c>
      <c r="B118" s="51" t="s">
        <v>10</v>
      </c>
      <c r="C118" s="35" t="s">
        <v>838</v>
      </c>
      <c r="D118" s="35" t="s">
        <v>73</v>
      </c>
      <c r="E118" s="50">
        <v>6</v>
      </c>
      <c r="F118" s="50">
        <v>17</v>
      </c>
    </row>
    <row r="119" spans="1:6" x14ac:dyDescent="0.2">
      <c r="A119" s="25" t="s">
        <v>855</v>
      </c>
      <c r="B119" s="51" t="s">
        <v>10</v>
      </c>
      <c r="C119" s="35" t="s">
        <v>833</v>
      </c>
      <c r="D119" s="35" t="s">
        <v>84</v>
      </c>
      <c r="E119" s="50">
        <v>6</v>
      </c>
      <c r="F119" s="50">
        <v>16</v>
      </c>
    </row>
    <row r="120" spans="1:6" x14ac:dyDescent="0.2">
      <c r="A120" s="25" t="s">
        <v>856</v>
      </c>
      <c r="B120" s="51" t="s">
        <v>10</v>
      </c>
      <c r="C120" s="35" t="s">
        <v>833</v>
      </c>
      <c r="D120" s="35" t="s">
        <v>65</v>
      </c>
      <c r="E120" s="50">
        <v>6</v>
      </c>
      <c r="F120" s="50">
        <v>18</v>
      </c>
    </row>
    <row r="121" spans="1:6" x14ac:dyDescent="0.2">
      <c r="A121" s="25" t="s">
        <v>857</v>
      </c>
      <c r="B121" s="51" t="s">
        <v>10</v>
      </c>
      <c r="C121" s="35" t="s">
        <v>833</v>
      </c>
      <c r="D121" s="35" t="s">
        <v>44</v>
      </c>
      <c r="E121" s="50">
        <v>6</v>
      </c>
      <c r="F121" s="50">
        <v>11</v>
      </c>
    </row>
    <row r="122" spans="1:6" x14ac:dyDescent="0.2">
      <c r="A122" s="25" t="s">
        <v>858</v>
      </c>
      <c r="B122" s="51" t="s">
        <v>10</v>
      </c>
      <c r="C122" s="35" t="s">
        <v>838</v>
      </c>
      <c r="D122" s="35" t="s">
        <v>99</v>
      </c>
      <c r="E122" s="50">
        <v>6</v>
      </c>
      <c r="F122" s="50">
        <v>13</v>
      </c>
    </row>
    <row r="123" spans="1:6" x14ac:dyDescent="0.2">
      <c r="A123" s="25" t="s">
        <v>859</v>
      </c>
      <c r="B123" s="51" t="s">
        <v>10</v>
      </c>
      <c r="C123" s="35" t="s">
        <v>837</v>
      </c>
      <c r="D123" s="35" t="s">
        <v>61</v>
      </c>
      <c r="E123" s="50">
        <v>6</v>
      </c>
      <c r="F123" s="50">
        <v>15</v>
      </c>
    </row>
    <row r="124" spans="1:6" x14ac:dyDescent="0.2">
      <c r="A124" s="25" t="s">
        <v>860</v>
      </c>
      <c r="B124" s="51" t="s">
        <v>10</v>
      </c>
      <c r="C124" s="35" t="s">
        <v>838</v>
      </c>
      <c r="D124" s="35" t="s">
        <v>185</v>
      </c>
      <c r="E124" s="50">
        <v>6</v>
      </c>
      <c r="F124" s="50">
        <v>12</v>
      </c>
    </row>
    <row r="125" spans="1:6" x14ac:dyDescent="0.2">
      <c r="A125" s="25" t="s">
        <v>396</v>
      </c>
      <c r="B125" s="51" t="s">
        <v>10</v>
      </c>
      <c r="C125" s="35" t="s">
        <v>838</v>
      </c>
      <c r="D125" s="35" t="s">
        <v>206</v>
      </c>
      <c r="E125" s="50">
        <v>6</v>
      </c>
      <c r="F125" s="50">
        <v>15</v>
      </c>
    </row>
    <row r="126" spans="1:6" x14ac:dyDescent="0.2">
      <c r="A126" s="25" t="s">
        <v>861</v>
      </c>
      <c r="B126" s="51" t="s">
        <v>10</v>
      </c>
      <c r="C126" s="35" t="s">
        <v>833</v>
      </c>
      <c r="D126" s="35" t="s">
        <v>57</v>
      </c>
      <c r="E126" s="50">
        <v>6</v>
      </c>
      <c r="F126" s="50">
        <v>13</v>
      </c>
    </row>
    <row r="127" spans="1:6" x14ac:dyDescent="0.2">
      <c r="A127" s="25" t="s">
        <v>433</v>
      </c>
      <c r="B127" s="51" t="s">
        <v>10</v>
      </c>
      <c r="C127" s="35" t="s">
        <v>836</v>
      </c>
      <c r="D127" s="35" t="s">
        <v>88</v>
      </c>
      <c r="E127" s="50">
        <v>6</v>
      </c>
      <c r="F127" s="50">
        <v>20</v>
      </c>
    </row>
    <row r="128" spans="1:6" x14ac:dyDescent="0.2">
      <c r="A128" s="25" t="s">
        <v>862</v>
      </c>
      <c r="B128" s="51" t="s">
        <v>10</v>
      </c>
      <c r="C128" s="35" t="s">
        <v>833</v>
      </c>
      <c r="D128" s="35" t="s">
        <v>69</v>
      </c>
      <c r="E128" s="50">
        <v>6</v>
      </c>
      <c r="F128" s="50">
        <v>14</v>
      </c>
    </row>
    <row r="129" spans="1:6" x14ac:dyDescent="0.2">
      <c r="A129" s="25" t="s">
        <v>863</v>
      </c>
      <c r="B129" s="51" t="s">
        <v>10</v>
      </c>
      <c r="C129" s="35" t="s">
        <v>834</v>
      </c>
      <c r="D129" s="35" t="s">
        <v>40</v>
      </c>
      <c r="E129" s="50">
        <v>6</v>
      </c>
      <c r="F129" s="50">
        <v>18</v>
      </c>
    </row>
    <row r="130" spans="1:6" x14ac:dyDescent="0.2">
      <c r="A130" s="25" t="s">
        <v>384</v>
      </c>
      <c r="B130" s="51" t="s">
        <v>10</v>
      </c>
      <c r="C130" s="35" t="s">
        <v>838</v>
      </c>
      <c r="D130" s="35" t="s">
        <v>88</v>
      </c>
      <c r="E130" s="50">
        <v>6</v>
      </c>
      <c r="F130" s="50">
        <v>17</v>
      </c>
    </row>
    <row r="131" spans="1:6" x14ac:dyDescent="0.2">
      <c r="A131" s="25" t="s">
        <v>864</v>
      </c>
      <c r="B131" s="51" t="s">
        <v>10</v>
      </c>
      <c r="C131" s="35" t="s">
        <v>837</v>
      </c>
      <c r="D131" s="35" t="s">
        <v>153</v>
      </c>
      <c r="E131" s="50">
        <v>6</v>
      </c>
      <c r="F131" s="50">
        <v>18</v>
      </c>
    </row>
    <row r="132" spans="1:6" x14ac:dyDescent="0.2">
      <c r="A132" s="25" t="s">
        <v>381</v>
      </c>
      <c r="B132" s="51" t="s">
        <v>10</v>
      </c>
      <c r="C132" s="35" t="s">
        <v>838</v>
      </c>
      <c r="D132" s="35" t="s">
        <v>77</v>
      </c>
      <c r="E132" s="50">
        <v>6</v>
      </c>
      <c r="F132" s="50">
        <v>18</v>
      </c>
    </row>
    <row r="133" spans="1:6" x14ac:dyDescent="0.2">
      <c r="A133" s="25" t="s">
        <v>865</v>
      </c>
      <c r="B133" s="51" t="s">
        <v>10</v>
      </c>
      <c r="C133" s="35" t="s">
        <v>837</v>
      </c>
      <c r="D133" s="35" t="s">
        <v>153</v>
      </c>
      <c r="E133" s="50">
        <v>6</v>
      </c>
      <c r="F133" s="50">
        <v>19</v>
      </c>
    </row>
    <row r="134" spans="1:6" x14ac:dyDescent="0.2">
      <c r="A134" s="25" t="s">
        <v>375</v>
      </c>
      <c r="B134" s="51" t="s">
        <v>10</v>
      </c>
      <c r="C134" s="35" t="s">
        <v>835</v>
      </c>
      <c r="D134" s="35" t="s">
        <v>61</v>
      </c>
      <c r="E134" s="50">
        <v>6</v>
      </c>
      <c r="F134" s="50">
        <v>19</v>
      </c>
    </row>
    <row r="135" spans="1:6" x14ac:dyDescent="0.2">
      <c r="A135" s="25" t="s">
        <v>68</v>
      </c>
      <c r="B135" s="51" t="s">
        <v>10</v>
      </c>
      <c r="C135" s="35" t="s">
        <v>837</v>
      </c>
      <c r="D135" s="35" t="s">
        <v>69</v>
      </c>
      <c r="E135" s="50">
        <v>5</v>
      </c>
      <c r="F135" s="50">
        <v>11</v>
      </c>
    </row>
    <row r="136" spans="1:6" x14ac:dyDescent="0.2">
      <c r="A136" s="25" t="s">
        <v>866</v>
      </c>
      <c r="B136" s="51" t="s">
        <v>10</v>
      </c>
      <c r="C136" s="35" t="s">
        <v>833</v>
      </c>
      <c r="D136" s="35" t="s">
        <v>99</v>
      </c>
      <c r="E136" s="50">
        <v>5</v>
      </c>
      <c r="F136" s="50">
        <v>12</v>
      </c>
    </row>
    <row r="137" spans="1:6" x14ac:dyDescent="0.2">
      <c r="A137" s="25" t="s">
        <v>867</v>
      </c>
      <c r="B137" s="51" t="s">
        <v>10</v>
      </c>
      <c r="C137" s="35" t="s">
        <v>838</v>
      </c>
      <c r="D137" s="35" t="s">
        <v>199</v>
      </c>
      <c r="E137" s="50">
        <v>5</v>
      </c>
      <c r="F137" s="50">
        <v>11</v>
      </c>
    </row>
    <row r="138" spans="1:6" x14ac:dyDescent="0.2">
      <c r="A138" s="25" t="s">
        <v>868</v>
      </c>
      <c r="B138" s="51" t="s">
        <v>10</v>
      </c>
      <c r="C138" s="35" t="s">
        <v>835</v>
      </c>
      <c r="D138" s="35" t="s">
        <v>61</v>
      </c>
      <c r="E138" s="50">
        <v>5</v>
      </c>
      <c r="F138" s="50">
        <v>13</v>
      </c>
    </row>
    <row r="139" spans="1:6" x14ac:dyDescent="0.2">
      <c r="A139" s="25" t="s">
        <v>869</v>
      </c>
      <c r="B139" s="51" t="s">
        <v>10</v>
      </c>
      <c r="C139" s="35" t="s">
        <v>837</v>
      </c>
      <c r="D139" s="35" t="s">
        <v>164</v>
      </c>
      <c r="E139" s="50">
        <v>5</v>
      </c>
      <c r="F139" s="50">
        <v>13</v>
      </c>
    </row>
    <row r="140" spans="1:6" x14ac:dyDescent="0.2">
      <c r="A140" s="25" t="s">
        <v>360</v>
      </c>
      <c r="B140" s="51" t="s">
        <v>10</v>
      </c>
      <c r="C140" s="35" t="s">
        <v>833</v>
      </c>
      <c r="D140" s="35" t="s">
        <v>77</v>
      </c>
      <c r="E140" s="50">
        <v>5</v>
      </c>
      <c r="F140" s="50">
        <v>13</v>
      </c>
    </row>
    <row r="141" spans="1:6" x14ac:dyDescent="0.2">
      <c r="A141" s="25" t="s">
        <v>870</v>
      </c>
      <c r="B141" s="51" t="s">
        <v>10</v>
      </c>
      <c r="C141" s="35" t="s">
        <v>833</v>
      </c>
      <c r="D141" s="35" t="s">
        <v>172</v>
      </c>
      <c r="E141" s="50">
        <v>5</v>
      </c>
      <c r="F141" s="50">
        <v>11</v>
      </c>
    </row>
    <row r="142" spans="1:6" x14ac:dyDescent="0.2">
      <c r="A142" s="25" t="s">
        <v>871</v>
      </c>
      <c r="B142" s="51" t="s">
        <v>10</v>
      </c>
      <c r="C142" s="35" t="s">
        <v>837</v>
      </c>
      <c r="D142" s="35" t="s">
        <v>73</v>
      </c>
      <c r="E142" s="50">
        <v>5</v>
      </c>
      <c r="F142" s="50">
        <v>12</v>
      </c>
    </row>
    <row r="143" spans="1:6" x14ac:dyDescent="0.2">
      <c r="A143" s="25" t="s">
        <v>872</v>
      </c>
      <c r="B143" s="51" t="s">
        <v>10</v>
      </c>
      <c r="C143" s="35" t="s">
        <v>838</v>
      </c>
      <c r="D143" s="35" t="s">
        <v>57</v>
      </c>
      <c r="E143" s="50">
        <v>5</v>
      </c>
      <c r="F143" s="50">
        <v>15</v>
      </c>
    </row>
    <row r="144" spans="1:6" x14ac:dyDescent="0.2">
      <c r="A144" s="25" t="s">
        <v>873</v>
      </c>
      <c r="B144" s="51" t="s">
        <v>10</v>
      </c>
      <c r="C144" s="35" t="s">
        <v>833</v>
      </c>
      <c r="D144" s="35" t="s">
        <v>199</v>
      </c>
      <c r="E144" s="50">
        <v>5</v>
      </c>
      <c r="F144" s="50">
        <v>11</v>
      </c>
    </row>
    <row r="145" spans="1:6" x14ac:dyDescent="0.2">
      <c r="A145" s="25" t="s">
        <v>874</v>
      </c>
      <c r="B145" s="51" t="s">
        <v>10</v>
      </c>
      <c r="C145" s="35" t="s">
        <v>841</v>
      </c>
      <c r="D145" s="35" t="s">
        <v>84</v>
      </c>
      <c r="E145" s="50">
        <v>5</v>
      </c>
      <c r="F145" s="50">
        <v>13</v>
      </c>
    </row>
    <row r="146" spans="1:6" x14ac:dyDescent="0.2">
      <c r="A146" s="25" t="s">
        <v>875</v>
      </c>
      <c r="B146" s="51" t="s">
        <v>10</v>
      </c>
      <c r="C146" s="35" t="s">
        <v>835</v>
      </c>
      <c r="D146" s="35" t="s">
        <v>69</v>
      </c>
      <c r="E146" s="50">
        <v>5</v>
      </c>
      <c r="F146" s="50">
        <v>12</v>
      </c>
    </row>
    <row r="147" spans="1:6" x14ac:dyDescent="0.2">
      <c r="A147" s="25" t="s">
        <v>876</v>
      </c>
      <c r="B147" s="51" t="s">
        <v>10</v>
      </c>
      <c r="C147" s="35" t="s">
        <v>838</v>
      </c>
      <c r="D147" s="35" t="s">
        <v>153</v>
      </c>
      <c r="E147" s="50">
        <v>5</v>
      </c>
      <c r="F147" s="50">
        <v>12</v>
      </c>
    </row>
    <row r="148" spans="1:6" x14ac:dyDescent="0.2">
      <c r="A148" s="25" t="s">
        <v>877</v>
      </c>
      <c r="B148" s="51" t="s">
        <v>10</v>
      </c>
      <c r="C148" s="35" t="s">
        <v>835</v>
      </c>
      <c r="D148" s="35" t="s">
        <v>44</v>
      </c>
      <c r="E148" s="50">
        <v>5</v>
      </c>
      <c r="F148" s="50">
        <v>13</v>
      </c>
    </row>
    <row r="149" spans="1:6" x14ac:dyDescent="0.2">
      <c r="A149" s="25" t="s">
        <v>878</v>
      </c>
      <c r="B149" s="51" t="s">
        <v>10</v>
      </c>
      <c r="C149" s="35" t="s">
        <v>838</v>
      </c>
      <c r="D149" s="35" t="s">
        <v>88</v>
      </c>
      <c r="E149" s="50">
        <v>5</v>
      </c>
      <c r="F149" s="50">
        <v>15</v>
      </c>
    </row>
    <row r="150" spans="1:6" x14ac:dyDescent="0.2">
      <c r="A150" s="25" t="s">
        <v>879</v>
      </c>
      <c r="B150" s="51" t="s">
        <v>10</v>
      </c>
      <c r="C150" s="35" t="s">
        <v>839</v>
      </c>
      <c r="D150" s="35" t="s">
        <v>36</v>
      </c>
      <c r="E150" s="50">
        <v>5</v>
      </c>
      <c r="F150" s="50">
        <v>16</v>
      </c>
    </row>
    <row r="151" spans="1:6" x14ac:dyDescent="0.2">
      <c r="A151" s="25" t="s">
        <v>880</v>
      </c>
      <c r="B151" s="51" t="s">
        <v>10</v>
      </c>
      <c r="C151" s="35" t="s">
        <v>835</v>
      </c>
      <c r="D151" s="35" t="s">
        <v>99</v>
      </c>
      <c r="E151" s="50">
        <v>5</v>
      </c>
      <c r="F151" s="50">
        <v>11</v>
      </c>
    </row>
    <row r="152" spans="1:6" x14ac:dyDescent="0.2">
      <c r="A152" s="25" t="s">
        <v>881</v>
      </c>
      <c r="B152" s="51" t="s">
        <v>10</v>
      </c>
      <c r="C152" s="35" t="s">
        <v>833</v>
      </c>
      <c r="D152" s="35" t="s">
        <v>61</v>
      </c>
      <c r="E152" s="50">
        <v>5</v>
      </c>
      <c r="F152" s="50">
        <v>11</v>
      </c>
    </row>
    <row r="153" spans="1:6" x14ac:dyDescent="0.2">
      <c r="A153" s="25" t="s">
        <v>882</v>
      </c>
      <c r="B153" s="51" t="s">
        <v>10</v>
      </c>
      <c r="C153" s="35" t="s">
        <v>834</v>
      </c>
      <c r="D153" s="35" t="s">
        <v>172</v>
      </c>
      <c r="E153" s="50">
        <v>5</v>
      </c>
      <c r="F153" s="50">
        <v>11</v>
      </c>
    </row>
    <row r="154" spans="1:6" x14ac:dyDescent="0.2">
      <c r="A154" s="25" t="s">
        <v>883</v>
      </c>
      <c r="B154" s="51" t="s">
        <v>10</v>
      </c>
      <c r="C154" s="35" t="s">
        <v>838</v>
      </c>
      <c r="D154" s="35" t="s">
        <v>185</v>
      </c>
      <c r="E154" s="50">
        <v>4</v>
      </c>
      <c r="F154" s="50">
        <v>8</v>
      </c>
    </row>
    <row r="155" spans="1:6" x14ac:dyDescent="0.2">
      <c r="A155" s="25" t="s">
        <v>884</v>
      </c>
      <c r="B155" s="51" t="s">
        <v>10</v>
      </c>
      <c r="C155" s="35" t="s">
        <v>885</v>
      </c>
      <c r="D155" s="35" t="s">
        <v>185</v>
      </c>
      <c r="E155" s="50">
        <v>4</v>
      </c>
      <c r="F155" s="50">
        <v>10</v>
      </c>
    </row>
    <row r="156" spans="1:6" x14ac:dyDescent="0.2">
      <c r="A156" s="25" t="s">
        <v>886</v>
      </c>
      <c r="B156" s="51" t="s">
        <v>10</v>
      </c>
      <c r="C156" s="35" t="s">
        <v>836</v>
      </c>
      <c r="D156" s="35" t="s">
        <v>206</v>
      </c>
      <c r="E156" s="50">
        <v>4</v>
      </c>
      <c r="F156" s="50">
        <v>12</v>
      </c>
    </row>
    <row r="157" spans="1:6" x14ac:dyDescent="0.2">
      <c r="A157" s="25" t="s">
        <v>418</v>
      </c>
      <c r="B157" s="51" t="s">
        <v>10</v>
      </c>
      <c r="C157" s="35" t="s">
        <v>833</v>
      </c>
      <c r="D157" s="35" t="s">
        <v>69</v>
      </c>
      <c r="E157" s="50">
        <v>4</v>
      </c>
      <c r="F157" s="50">
        <v>10</v>
      </c>
    </row>
    <row r="158" spans="1:6" x14ac:dyDescent="0.2">
      <c r="A158" s="25" t="s">
        <v>887</v>
      </c>
      <c r="B158" s="51" t="s">
        <v>10</v>
      </c>
      <c r="C158" s="35" t="s">
        <v>833</v>
      </c>
      <c r="D158" s="35" t="s">
        <v>44</v>
      </c>
      <c r="E158" s="50">
        <v>4</v>
      </c>
      <c r="F158" s="50">
        <v>10</v>
      </c>
    </row>
    <row r="159" spans="1:6" x14ac:dyDescent="0.2">
      <c r="A159" s="25" t="s">
        <v>407</v>
      </c>
      <c r="B159" s="51" t="s">
        <v>10</v>
      </c>
      <c r="C159" s="35" t="s">
        <v>835</v>
      </c>
      <c r="D159" s="35" t="s">
        <v>199</v>
      </c>
      <c r="E159" s="50">
        <v>4</v>
      </c>
      <c r="F159" s="50">
        <v>12</v>
      </c>
    </row>
    <row r="160" spans="1:6" x14ac:dyDescent="0.2">
      <c r="A160" s="25" t="s">
        <v>888</v>
      </c>
      <c r="B160" s="51" t="s">
        <v>10</v>
      </c>
      <c r="C160" s="35" t="s">
        <v>833</v>
      </c>
      <c r="D160" s="35" t="s">
        <v>206</v>
      </c>
      <c r="E160" s="50">
        <v>4</v>
      </c>
      <c r="F160" s="50">
        <v>11</v>
      </c>
    </row>
    <row r="161" spans="1:6" x14ac:dyDescent="0.2">
      <c r="A161" s="25" t="s">
        <v>889</v>
      </c>
      <c r="B161" s="51" t="s">
        <v>10</v>
      </c>
      <c r="C161" s="35" t="s">
        <v>838</v>
      </c>
      <c r="D161" s="35" t="s">
        <v>95</v>
      </c>
      <c r="E161" s="50">
        <v>4</v>
      </c>
      <c r="F161" s="50">
        <v>13</v>
      </c>
    </row>
    <row r="162" spans="1:6" x14ac:dyDescent="0.2">
      <c r="A162" s="25" t="s">
        <v>890</v>
      </c>
      <c r="B162" s="51" t="s">
        <v>10</v>
      </c>
      <c r="C162" s="35" t="s">
        <v>833</v>
      </c>
      <c r="D162" s="35" t="s">
        <v>164</v>
      </c>
      <c r="E162" s="50">
        <v>4</v>
      </c>
      <c r="F162" s="50">
        <v>10</v>
      </c>
    </row>
    <row r="163" spans="1:6" x14ac:dyDescent="0.2">
      <c r="A163" s="25" t="s">
        <v>891</v>
      </c>
      <c r="B163" s="51" t="s">
        <v>10</v>
      </c>
      <c r="C163" s="35" t="s">
        <v>833</v>
      </c>
      <c r="D163" s="35" t="s">
        <v>36</v>
      </c>
      <c r="E163" s="50">
        <v>4</v>
      </c>
      <c r="F163" s="50">
        <v>10</v>
      </c>
    </row>
    <row r="164" spans="1:6" x14ac:dyDescent="0.2">
      <c r="A164" s="25" t="s">
        <v>892</v>
      </c>
      <c r="B164" s="51" t="s">
        <v>10</v>
      </c>
      <c r="C164" s="35" t="s">
        <v>833</v>
      </c>
      <c r="D164" s="35" t="s">
        <v>199</v>
      </c>
      <c r="E164" s="50">
        <v>4</v>
      </c>
      <c r="F164" s="50">
        <v>10</v>
      </c>
    </row>
    <row r="165" spans="1:6" x14ac:dyDescent="0.2">
      <c r="A165" s="25" t="s">
        <v>893</v>
      </c>
      <c r="B165" s="51" t="s">
        <v>10</v>
      </c>
      <c r="C165" s="35" t="s">
        <v>833</v>
      </c>
      <c r="D165" s="35" t="s">
        <v>185</v>
      </c>
      <c r="E165" s="50">
        <v>4</v>
      </c>
      <c r="F165" s="50">
        <v>9</v>
      </c>
    </row>
    <row r="166" spans="1:6" x14ac:dyDescent="0.2">
      <c r="A166" s="25" t="s">
        <v>894</v>
      </c>
      <c r="B166" s="51" t="s">
        <v>10</v>
      </c>
      <c r="C166" s="35" t="s">
        <v>833</v>
      </c>
      <c r="D166" s="35" t="s">
        <v>206</v>
      </c>
      <c r="E166" s="50">
        <v>4</v>
      </c>
      <c r="F166" s="50">
        <v>12</v>
      </c>
    </row>
    <row r="167" spans="1:6" x14ac:dyDescent="0.2">
      <c r="A167" s="25" t="s">
        <v>895</v>
      </c>
      <c r="B167" s="51" t="s">
        <v>10</v>
      </c>
      <c r="C167" s="35" t="s">
        <v>838</v>
      </c>
      <c r="D167" s="35" t="s">
        <v>57</v>
      </c>
      <c r="E167" s="50">
        <v>4</v>
      </c>
      <c r="F167" s="50">
        <v>9</v>
      </c>
    </row>
    <row r="168" spans="1:6" x14ac:dyDescent="0.2">
      <c r="A168" s="25" t="s">
        <v>896</v>
      </c>
      <c r="B168" s="51" t="s">
        <v>10</v>
      </c>
      <c r="C168" s="35" t="s">
        <v>833</v>
      </c>
      <c r="D168" s="35" t="s">
        <v>153</v>
      </c>
      <c r="E168" s="50">
        <v>4</v>
      </c>
      <c r="F168" s="50">
        <v>8</v>
      </c>
    </row>
    <row r="169" spans="1:6" x14ac:dyDescent="0.2">
      <c r="A169" s="25" t="s">
        <v>897</v>
      </c>
      <c r="B169" s="51" t="s">
        <v>10</v>
      </c>
      <c r="C169" s="35" t="s">
        <v>833</v>
      </c>
      <c r="D169" s="35" t="s">
        <v>99</v>
      </c>
      <c r="E169" s="50">
        <v>4</v>
      </c>
      <c r="F169" s="50">
        <v>12</v>
      </c>
    </row>
    <row r="170" spans="1:6" x14ac:dyDescent="0.2">
      <c r="A170" s="25" t="s">
        <v>898</v>
      </c>
      <c r="B170" s="51" t="s">
        <v>10</v>
      </c>
      <c r="C170" s="35" t="s">
        <v>835</v>
      </c>
      <c r="D170" s="35" t="s">
        <v>77</v>
      </c>
      <c r="E170" s="50">
        <v>4</v>
      </c>
      <c r="F170" s="50">
        <v>10</v>
      </c>
    </row>
    <row r="171" spans="1:6" x14ac:dyDescent="0.2">
      <c r="A171" s="25" t="s">
        <v>899</v>
      </c>
      <c r="B171" s="51" t="s">
        <v>10</v>
      </c>
      <c r="C171" s="35" t="s">
        <v>833</v>
      </c>
      <c r="D171" s="35" t="s">
        <v>65</v>
      </c>
      <c r="E171" s="50">
        <v>4</v>
      </c>
      <c r="F171" s="50">
        <v>10</v>
      </c>
    </row>
    <row r="172" spans="1:6" x14ac:dyDescent="0.2">
      <c r="A172" s="25" t="s">
        <v>900</v>
      </c>
      <c r="B172" s="51" t="s">
        <v>10</v>
      </c>
      <c r="C172" s="35" t="s">
        <v>834</v>
      </c>
      <c r="D172" s="35" t="s">
        <v>95</v>
      </c>
      <c r="E172" s="50">
        <v>4</v>
      </c>
      <c r="F172" s="50">
        <v>10</v>
      </c>
    </row>
    <row r="173" spans="1:6" x14ac:dyDescent="0.2">
      <c r="A173" s="25" t="s">
        <v>901</v>
      </c>
      <c r="B173" s="51" t="s">
        <v>10</v>
      </c>
      <c r="C173" s="35" t="s">
        <v>835</v>
      </c>
      <c r="D173" s="35" t="s">
        <v>185</v>
      </c>
      <c r="E173" s="50">
        <v>4</v>
      </c>
      <c r="F173" s="50">
        <v>10</v>
      </c>
    </row>
    <row r="174" spans="1:6" x14ac:dyDescent="0.2">
      <c r="A174" s="25" t="s">
        <v>902</v>
      </c>
      <c r="B174" s="51" t="s">
        <v>10</v>
      </c>
      <c r="C174" s="35" t="s">
        <v>839</v>
      </c>
      <c r="D174" s="35" t="s">
        <v>172</v>
      </c>
      <c r="E174" s="50">
        <v>4</v>
      </c>
      <c r="F174" s="50">
        <v>9</v>
      </c>
    </row>
    <row r="175" spans="1:6" x14ac:dyDescent="0.2">
      <c r="A175" s="25" t="s">
        <v>903</v>
      </c>
      <c r="B175" s="51" t="s">
        <v>10</v>
      </c>
      <c r="C175" s="35" t="s">
        <v>833</v>
      </c>
      <c r="D175" s="35" t="s">
        <v>69</v>
      </c>
      <c r="E175" s="50">
        <v>3</v>
      </c>
      <c r="F175" s="50">
        <v>7</v>
      </c>
    </row>
    <row r="176" spans="1:6" x14ac:dyDescent="0.2">
      <c r="A176" s="25" t="s">
        <v>904</v>
      </c>
      <c r="B176" s="51" t="s">
        <v>10</v>
      </c>
      <c r="C176" s="35" t="s">
        <v>835</v>
      </c>
      <c r="D176" s="35" t="s">
        <v>149</v>
      </c>
      <c r="E176" s="50">
        <v>3</v>
      </c>
      <c r="F176" s="50">
        <v>8</v>
      </c>
    </row>
    <row r="177" spans="1:6" x14ac:dyDescent="0.2">
      <c r="A177" s="25" t="s">
        <v>905</v>
      </c>
      <c r="B177" s="51" t="s">
        <v>10</v>
      </c>
      <c r="C177" s="35" t="s">
        <v>836</v>
      </c>
      <c r="D177" s="35" t="s">
        <v>65</v>
      </c>
      <c r="E177" s="50">
        <v>3</v>
      </c>
      <c r="F177" s="50">
        <v>10</v>
      </c>
    </row>
    <row r="178" spans="1:6" x14ac:dyDescent="0.2">
      <c r="A178" s="25" t="s">
        <v>906</v>
      </c>
      <c r="B178" s="51" t="s">
        <v>10</v>
      </c>
      <c r="C178" s="35" t="s">
        <v>837</v>
      </c>
      <c r="D178" s="35" t="s">
        <v>95</v>
      </c>
      <c r="E178" s="50">
        <v>3</v>
      </c>
      <c r="F178" s="50">
        <v>12</v>
      </c>
    </row>
    <row r="179" spans="1:6" x14ac:dyDescent="0.2">
      <c r="A179" s="25" t="s">
        <v>907</v>
      </c>
      <c r="B179" s="51" t="s">
        <v>10</v>
      </c>
      <c r="C179" s="35" t="s">
        <v>837</v>
      </c>
      <c r="D179" s="35" t="s">
        <v>206</v>
      </c>
      <c r="E179" s="50">
        <v>3</v>
      </c>
      <c r="F179" s="50">
        <v>9</v>
      </c>
    </row>
    <row r="180" spans="1:6" x14ac:dyDescent="0.2">
      <c r="A180" s="25" t="s">
        <v>908</v>
      </c>
      <c r="B180" s="51" t="s">
        <v>10</v>
      </c>
      <c r="C180" s="35" t="s">
        <v>833</v>
      </c>
      <c r="D180" s="35" t="s">
        <v>61</v>
      </c>
      <c r="E180" s="50">
        <v>3</v>
      </c>
      <c r="F180" s="50">
        <v>6</v>
      </c>
    </row>
    <row r="181" spans="1:6" x14ac:dyDescent="0.2">
      <c r="A181" s="25" t="s">
        <v>909</v>
      </c>
      <c r="B181" s="51" t="s">
        <v>10</v>
      </c>
      <c r="C181" s="35" t="s">
        <v>833</v>
      </c>
      <c r="D181" s="35" t="s">
        <v>69</v>
      </c>
      <c r="E181" s="50">
        <v>3</v>
      </c>
      <c r="F181" s="50">
        <v>8</v>
      </c>
    </row>
    <row r="182" spans="1:6" x14ac:dyDescent="0.2">
      <c r="A182" s="25" t="s">
        <v>910</v>
      </c>
      <c r="B182" s="51" t="s">
        <v>10</v>
      </c>
      <c r="C182" s="35" t="s">
        <v>834</v>
      </c>
      <c r="D182" s="35" t="s">
        <v>149</v>
      </c>
      <c r="E182" s="50">
        <v>3</v>
      </c>
      <c r="F182" s="50">
        <v>12</v>
      </c>
    </row>
    <row r="183" spans="1:6" x14ac:dyDescent="0.2">
      <c r="A183" s="25" t="s">
        <v>911</v>
      </c>
      <c r="B183" s="51" t="s">
        <v>10</v>
      </c>
      <c r="C183" s="35" t="s">
        <v>838</v>
      </c>
      <c r="D183" s="35" t="s">
        <v>149</v>
      </c>
      <c r="E183" s="50">
        <v>3</v>
      </c>
      <c r="F183" s="50">
        <v>9</v>
      </c>
    </row>
    <row r="184" spans="1:6" x14ac:dyDescent="0.2">
      <c r="A184" s="25" t="s">
        <v>912</v>
      </c>
      <c r="B184" s="51" t="s">
        <v>10</v>
      </c>
      <c r="C184" s="35" t="s">
        <v>835</v>
      </c>
      <c r="D184" s="35" t="s">
        <v>88</v>
      </c>
      <c r="E184" s="50">
        <v>3</v>
      </c>
      <c r="F184" s="50">
        <v>12</v>
      </c>
    </row>
    <row r="185" spans="1:6" x14ac:dyDescent="0.2">
      <c r="A185" s="25" t="s">
        <v>913</v>
      </c>
      <c r="B185" s="51" t="s">
        <v>10</v>
      </c>
      <c r="C185" s="35" t="s">
        <v>835</v>
      </c>
      <c r="D185" s="35" t="s">
        <v>199</v>
      </c>
      <c r="E185" s="50">
        <v>3</v>
      </c>
      <c r="F185" s="50">
        <v>7</v>
      </c>
    </row>
    <row r="186" spans="1:6" x14ac:dyDescent="0.2">
      <c r="A186" s="25" t="s">
        <v>914</v>
      </c>
      <c r="B186" s="51" t="s">
        <v>10</v>
      </c>
      <c r="C186" s="35" t="s">
        <v>838</v>
      </c>
      <c r="D186" s="35" t="s">
        <v>172</v>
      </c>
      <c r="E186" s="50">
        <v>3</v>
      </c>
      <c r="F186" s="50">
        <v>7</v>
      </c>
    </row>
    <row r="187" spans="1:6" x14ac:dyDescent="0.2">
      <c r="A187" s="25" t="s">
        <v>915</v>
      </c>
      <c r="B187" s="51" t="s">
        <v>10</v>
      </c>
      <c r="C187" s="35" t="s">
        <v>835</v>
      </c>
      <c r="D187" s="35" t="s">
        <v>153</v>
      </c>
      <c r="E187" s="50">
        <v>3</v>
      </c>
      <c r="F187" s="50">
        <v>7</v>
      </c>
    </row>
    <row r="188" spans="1:6" x14ac:dyDescent="0.2">
      <c r="A188" s="25" t="s">
        <v>916</v>
      </c>
      <c r="B188" s="51" t="s">
        <v>10</v>
      </c>
      <c r="C188" s="35" t="s">
        <v>834</v>
      </c>
      <c r="D188" s="35" t="s">
        <v>73</v>
      </c>
      <c r="E188" s="50">
        <v>3</v>
      </c>
      <c r="F188" s="50">
        <v>7</v>
      </c>
    </row>
    <row r="189" spans="1:6" x14ac:dyDescent="0.2">
      <c r="A189" s="25" t="s">
        <v>917</v>
      </c>
      <c r="B189" s="51" t="s">
        <v>10</v>
      </c>
      <c r="C189" s="35" t="s">
        <v>834</v>
      </c>
      <c r="D189" s="35" t="s">
        <v>206</v>
      </c>
      <c r="E189" s="50">
        <v>3</v>
      </c>
      <c r="F189" s="50">
        <v>9</v>
      </c>
    </row>
    <row r="190" spans="1:6" x14ac:dyDescent="0.2">
      <c r="A190" s="25" t="s">
        <v>918</v>
      </c>
      <c r="B190" s="51" t="s">
        <v>10</v>
      </c>
      <c r="C190" s="35" t="s">
        <v>833</v>
      </c>
      <c r="D190" s="35" t="s">
        <v>88</v>
      </c>
      <c r="E190" s="50">
        <v>3</v>
      </c>
      <c r="F190" s="50">
        <v>10</v>
      </c>
    </row>
    <row r="191" spans="1:6" x14ac:dyDescent="0.2">
      <c r="A191" s="25" t="s">
        <v>919</v>
      </c>
      <c r="B191" s="51" t="s">
        <v>10</v>
      </c>
      <c r="C191" s="35" t="s">
        <v>837</v>
      </c>
      <c r="D191" s="35" t="s">
        <v>153</v>
      </c>
      <c r="E191" s="50">
        <v>3</v>
      </c>
      <c r="F191" s="50">
        <v>7</v>
      </c>
    </row>
    <row r="192" spans="1:6" x14ac:dyDescent="0.2">
      <c r="A192" s="25" t="s">
        <v>920</v>
      </c>
      <c r="B192" s="51" t="s">
        <v>10</v>
      </c>
      <c r="C192" s="35" t="s">
        <v>837</v>
      </c>
      <c r="D192" s="35" t="s">
        <v>172</v>
      </c>
      <c r="E192" s="50">
        <v>3</v>
      </c>
      <c r="F192" s="50">
        <v>10</v>
      </c>
    </row>
    <row r="193" spans="1:6" x14ac:dyDescent="0.2">
      <c r="A193" s="25" t="s">
        <v>921</v>
      </c>
      <c r="B193" s="51" t="s">
        <v>10</v>
      </c>
      <c r="C193" s="35" t="s">
        <v>833</v>
      </c>
      <c r="D193" s="35" t="s">
        <v>199</v>
      </c>
      <c r="E193" s="50">
        <v>3</v>
      </c>
      <c r="F193" s="50">
        <v>7</v>
      </c>
    </row>
    <row r="194" spans="1:6" x14ac:dyDescent="0.2">
      <c r="A194" s="25" t="s">
        <v>922</v>
      </c>
      <c r="B194" s="51" t="s">
        <v>10</v>
      </c>
      <c r="C194" s="35" t="s">
        <v>837</v>
      </c>
      <c r="D194" s="35" t="s">
        <v>199</v>
      </c>
      <c r="E194" s="50">
        <v>3</v>
      </c>
      <c r="F194" s="50">
        <v>7</v>
      </c>
    </row>
    <row r="195" spans="1:6" x14ac:dyDescent="0.2">
      <c r="A195" s="25" t="s">
        <v>923</v>
      </c>
      <c r="B195" s="51" t="s">
        <v>10</v>
      </c>
      <c r="C195" s="35" t="s">
        <v>833</v>
      </c>
      <c r="D195" s="35" t="s">
        <v>65</v>
      </c>
      <c r="E195" s="50">
        <v>3</v>
      </c>
      <c r="F195" s="50">
        <v>8</v>
      </c>
    </row>
    <row r="196" spans="1:6" x14ac:dyDescent="0.2">
      <c r="A196" s="25" t="s">
        <v>924</v>
      </c>
      <c r="B196" s="51" t="s">
        <v>10</v>
      </c>
      <c r="C196" s="35" t="s">
        <v>838</v>
      </c>
      <c r="D196" s="35" t="s">
        <v>61</v>
      </c>
      <c r="E196" s="50">
        <v>2</v>
      </c>
      <c r="F196" s="50">
        <v>6</v>
      </c>
    </row>
    <row r="197" spans="1:6" x14ac:dyDescent="0.2">
      <c r="A197" s="25" t="s">
        <v>925</v>
      </c>
      <c r="B197" s="51" t="s">
        <v>10</v>
      </c>
      <c r="C197" s="35" t="s">
        <v>838</v>
      </c>
      <c r="D197" s="35" t="s">
        <v>172</v>
      </c>
      <c r="E197" s="50">
        <v>2</v>
      </c>
      <c r="F197" s="50">
        <v>5</v>
      </c>
    </row>
    <row r="198" spans="1:6" x14ac:dyDescent="0.2">
      <c r="A198" s="25" t="s">
        <v>415</v>
      </c>
      <c r="B198" s="51" t="s">
        <v>10</v>
      </c>
      <c r="C198" s="35" t="s">
        <v>841</v>
      </c>
      <c r="D198" s="35" t="s">
        <v>44</v>
      </c>
      <c r="E198" s="50">
        <v>2</v>
      </c>
      <c r="F198" s="50">
        <v>5</v>
      </c>
    </row>
    <row r="199" spans="1:6" x14ac:dyDescent="0.2">
      <c r="A199" s="25" t="s">
        <v>926</v>
      </c>
      <c r="B199" s="51" t="s">
        <v>10</v>
      </c>
      <c r="C199" s="35" t="s">
        <v>837</v>
      </c>
      <c r="D199" s="35" t="s">
        <v>149</v>
      </c>
      <c r="E199" s="50">
        <v>2</v>
      </c>
      <c r="F199" s="50">
        <v>4</v>
      </c>
    </row>
    <row r="200" spans="1:6" x14ac:dyDescent="0.2">
      <c r="A200" s="25" t="s">
        <v>927</v>
      </c>
      <c r="B200" s="51" t="s">
        <v>10</v>
      </c>
      <c r="C200" s="35" t="s">
        <v>837</v>
      </c>
      <c r="D200" s="35" t="s">
        <v>185</v>
      </c>
      <c r="E200" s="50">
        <v>2</v>
      </c>
      <c r="F200" s="50">
        <v>4</v>
      </c>
    </row>
    <row r="201" spans="1:6" x14ac:dyDescent="0.2">
      <c r="A201" s="25" t="s">
        <v>928</v>
      </c>
      <c r="B201" s="51" t="s">
        <v>10</v>
      </c>
      <c r="C201" s="35" t="s">
        <v>841</v>
      </c>
      <c r="D201" s="35" t="s">
        <v>199</v>
      </c>
      <c r="E201" s="50">
        <v>2</v>
      </c>
      <c r="F201" s="50">
        <v>4</v>
      </c>
    </row>
    <row r="202" spans="1:6" x14ac:dyDescent="0.2">
      <c r="A202" s="25" t="s">
        <v>929</v>
      </c>
      <c r="B202" s="51" t="s">
        <v>10</v>
      </c>
      <c r="C202" s="35" t="s">
        <v>834</v>
      </c>
      <c r="D202" s="35" t="s">
        <v>61</v>
      </c>
      <c r="E202" s="50">
        <v>2</v>
      </c>
      <c r="F202" s="50">
        <v>5</v>
      </c>
    </row>
    <row r="203" spans="1:6" x14ac:dyDescent="0.2">
      <c r="A203" s="25" t="s">
        <v>930</v>
      </c>
      <c r="B203" s="51" t="s">
        <v>10</v>
      </c>
      <c r="C203" s="35" t="s">
        <v>833</v>
      </c>
      <c r="D203" s="35" t="s">
        <v>99</v>
      </c>
      <c r="E203" s="50">
        <v>2</v>
      </c>
      <c r="F203" s="50">
        <v>4</v>
      </c>
    </row>
    <row r="204" spans="1:6" x14ac:dyDescent="0.2">
      <c r="A204" s="25" t="s">
        <v>931</v>
      </c>
      <c r="B204" s="51" t="s">
        <v>10</v>
      </c>
      <c r="C204" s="35" t="s">
        <v>835</v>
      </c>
      <c r="D204" s="35" t="s">
        <v>88</v>
      </c>
      <c r="E204" s="50">
        <v>2</v>
      </c>
      <c r="F204" s="50">
        <v>8</v>
      </c>
    </row>
    <row r="205" spans="1:6" x14ac:dyDescent="0.2">
      <c r="A205" s="25" t="s">
        <v>932</v>
      </c>
      <c r="B205" s="51" t="s">
        <v>10</v>
      </c>
      <c r="C205" s="35" t="s">
        <v>833</v>
      </c>
      <c r="D205" s="35" t="s">
        <v>84</v>
      </c>
      <c r="E205" s="50">
        <v>2</v>
      </c>
      <c r="F205" s="50">
        <v>6</v>
      </c>
    </row>
    <row r="206" spans="1:6" x14ac:dyDescent="0.2">
      <c r="A206" s="25" t="s">
        <v>933</v>
      </c>
      <c r="B206" s="51" t="s">
        <v>10</v>
      </c>
      <c r="C206" s="35" t="s">
        <v>833</v>
      </c>
      <c r="D206" s="35" t="s">
        <v>57</v>
      </c>
      <c r="E206" s="50">
        <v>2</v>
      </c>
      <c r="F206" s="50">
        <v>5</v>
      </c>
    </row>
    <row r="207" spans="1:6" x14ac:dyDescent="0.2">
      <c r="A207" s="25" t="s">
        <v>934</v>
      </c>
      <c r="B207" s="51" t="s">
        <v>10</v>
      </c>
      <c r="C207" s="35" t="s">
        <v>833</v>
      </c>
      <c r="D207" s="35" t="s">
        <v>185</v>
      </c>
      <c r="E207" s="50">
        <v>2</v>
      </c>
      <c r="F207" s="50">
        <v>5</v>
      </c>
    </row>
    <row r="208" spans="1:6" x14ac:dyDescent="0.2">
      <c r="A208" s="25" t="s">
        <v>935</v>
      </c>
      <c r="B208" s="51" t="s">
        <v>10</v>
      </c>
      <c r="C208" s="35" t="s">
        <v>838</v>
      </c>
      <c r="D208" s="35" t="s">
        <v>88</v>
      </c>
      <c r="E208" s="50">
        <v>2</v>
      </c>
      <c r="F208" s="50">
        <v>5</v>
      </c>
    </row>
    <row r="209" spans="1:6" x14ac:dyDescent="0.2">
      <c r="A209" s="25" t="s">
        <v>936</v>
      </c>
      <c r="B209" s="51" t="s">
        <v>10</v>
      </c>
      <c r="C209" s="35" t="s">
        <v>838</v>
      </c>
      <c r="D209" s="35" t="s">
        <v>57</v>
      </c>
      <c r="E209" s="50">
        <v>2</v>
      </c>
      <c r="F209" s="50">
        <v>7</v>
      </c>
    </row>
    <row r="210" spans="1:6" x14ac:dyDescent="0.2">
      <c r="A210" s="25" t="s">
        <v>937</v>
      </c>
      <c r="B210" s="51" t="s">
        <v>10</v>
      </c>
      <c r="C210" s="35" t="s">
        <v>836</v>
      </c>
      <c r="D210" s="35" t="s">
        <v>57</v>
      </c>
      <c r="E210" s="50">
        <v>2</v>
      </c>
      <c r="F210" s="50">
        <v>5</v>
      </c>
    </row>
    <row r="211" spans="1:6" x14ac:dyDescent="0.2">
      <c r="A211" s="25" t="s">
        <v>938</v>
      </c>
      <c r="B211" s="51" t="s">
        <v>10</v>
      </c>
      <c r="C211" s="35" t="s">
        <v>835</v>
      </c>
      <c r="D211" s="35" t="s">
        <v>199</v>
      </c>
      <c r="E211" s="50">
        <v>2</v>
      </c>
      <c r="F211" s="50">
        <v>4</v>
      </c>
    </row>
    <row r="212" spans="1:6" x14ac:dyDescent="0.2">
      <c r="A212" s="25" t="s">
        <v>939</v>
      </c>
      <c r="B212" s="51" t="s">
        <v>10</v>
      </c>
      <c r="C212" s="35" t="s">
        <v>835</v>
      </c>
      <c r="D212" s="35" t="s">
        <v>77</v>
      </c>
      <c r="E212" s="50">
        <v>2</v>
      </c>
      <c r="F212" s="50">
        <v>5</v>
      </c>
    </row>
    <row r="213" spans="1:6" x14ac:dyDescent="0.2">
      <c r="A213" s="25" t="s">
        <v>940</v>
      </c>
      <c r="B213" s="51" t="s">
        <v>10</v>
      </c>
      <c r="C213" s="35" t="s">
        <v>834</v>
      </c>
      <c r="D213" s="35" t="s">
        <v>185</v>
      </c>
      <c r="E213" s="50">
        <v>1</v>
      </c>
      <c r="F213" s="50">
        <v>3</v>
      </c>
    </row>
    <row r="214" spans="1:6" x14ac:dyDescent="0.2">
      <c r="A214" s="25" t="s">
        <v>941</v>
      </c>
      <c r="B214" s="51" t="s">
        <v>10</v>
      </c>
      <c r="C214" s="35" t="s">
        <v>833</v>
      </c>
      <c r="D214" s="35" t="s">
        <v>69</v>
      </c>
      <c r="E214" s="50">
        <v>1</v>
      </c>
      <c r="F214" s="50">
        <v>1</v>
      </c>
    </row>
    <row r="215" spans="1:6" x14ac:dyDescent="0.2">
      <c r="A215" s="25" t="s">
        <v>942</v>
      </c>
      <c r="B215" s="51" t="s">
        <v>10</v>
      </c>
      <c r="C215" s="35" t="s">
        <v>833</v>
      </c>
      <c r="D215" s="35" t="s">
        <v>206</v>
      </c>
      <c r="E215" s="50">
        <v>1</v>
      </c>
      <c r="F215" s="50">
        <v>2</v>
      </c>
    </row>
    <row r="216" spans="1:6" x14ac:dyDescent="0.2">
      <c r="A216" s="25" t="s">
        <v>943</v>
      </c>
      <c r="B216" s="51" t="s">
        <v>10</v>
      </c>
      <c r="C216" s="35" t="s">
        <v>835</v>
      </c>
      <c r="D216" s="35" t="s">
        <v>206</v>
      </c>
      <c r="E216" s="50">
        <v>1</v>
      </c>
      <c r="F216" s="50">
        <v>4</v>
      </c>
    </row>
    <row r="217" spans="1:6" x14ac:dyDescent="0.2">
      <c r="A217" s="25" t="s">
        <v>944</v>
      </c>
      <c r="B217" s="51" t="s">
        <v>10</v>
      </c>
      <c r="C217" s="35" t="s">
        <v>841</v>
      </c>
      <c r="D217" s="35" t="s">
        <v>164</v>
      </c>
      <c r="E217" s="50">
        <v>1</v>
      </c>
      <c r="F217" s="50">
        <v>4</v>
      </c>
    </row>
    <row r="218" spans="1:6" x14ac:dyDescent="0.2">
      <c r="A218" s="25" t="s">
        <v>945</v>
      </c>
      <c r="B218" s="51" t="s">
        <v>10</v>
      </c>
      <c r="C218" s="35" t="s">
        <v>838</v>
      </c>
      <c r="D218" s="35" t="s">
        <v>65</v>
      </c>
      <c r="E218" s="50">
        <v>1</v>
      </c>
      <c r="F218" s="50">
        <v>3</v>
      </c>
    </row>
    <row r="219" spans="1:6" x14ac:dyDescent="0.2">
      <c r="A219" s="25" t="s">
        <v>946</v>
      </c>
      <c r="B219" s="51" t="s">
        <v>10</v>
      </c>
      <c r="C219" s="35" t="s">
        <v>838</v>
      </c>
      <c r="D219" s="35" t="s">
        <v>69</v>
      </c>
      <c r="E219" s="50">
        <v>1</v>
      </c>
      <c r="F219" s="50">
        <v>3</v>
      </c>
    </row>
    <row r="220" spans="1:6" x14ac:dyDescent="0.2">
      <c r="A220" s="25" t="s">
        <v>947</v>
      </c>
      <c r="B220" s="51" t="s">
        <v>10</v>
      </c>
      <c r="C220" s="35" t="s">
        <v>837</v>
      </c>
      <c r="D220" s="35" t="s">
        <v>77</v>
      </c>
      <c r="E220" s="50">
        <v>1</v>
      </c>
      <c r="F220" s="50">
        <v>8</v>
      </c>
    </row>
    <row r="221" spans="1:6" x14ac:dyDescent="0.2">
      <c r="A221" s="25" t="s">
        <v>948</v>
      </c>
      <c r="B221" s="51" t="s">
        <v>10</v>
      </c>
      <c r="C221" s="35" t="s">
        <v>835</v>
      </c>
      <c r="D221" s="35" t="s">
        <v>61</v>
      </c>
      <c r="E221" s="50">
        <v>1</v>
      </c>
      <c r="F221" s="50">
        <v>4</v>
      </c>
    </row>
    <row r="222" spans="1:6" x14ac:dyDescent="0.2">
      <c r="A222" s="25" t="s">
        <v>949</v>
      </c>
      <c r="B222" s="51" t="s">
        <v>10</v>
      </c>
      <c r="C222" s="35" t="s">
        <v>833</v>
      </c>
      <c r="D222" s="35" t="s">
        <v>69</v>
      </c>
      <c r="E222" s="50">
        <v>1</v>
      </c>
      <c r="F222" s="50">
        <v>1</v>
      </c>
    </row>
    <row r="223" spans="1:6" x14ac:dyDescent="0.2">
      <c r="A223" s="25" t="s">
        <v>950</v>
      </c>
      <c r="B223" s="51" t="s">
        <v>10</v>
      </c>
      <c r="C223" s="35" t="s">
        <v>833</v>
      </c>
      <c r="D223" s="35" t="s">
        <v>77</v>
      </c>
      <c r="E223" s="50">
        <v>1</v>
      </c>
      <c r="F223" s="50">
        <v>1</v>
      </c>
    </row>
    <row r="224" spans="1:6" x14ac:dyDescent="0.2">
      <c r="A224" s="25" t="s">
        <v>951</v>
      </c>
      <c r="B224" s="51" t="s">
        <v>10</v>
      </c>
      <c r="C224" s="35" t="s">
        <v>837</v>
      </c>
      <c r="D224" s="35" t="s">
        <v>199</v>
      </c>
      <c r="E224" s="50">
        <v>1</v>
      </c>
      <c r="F224" s="50">
        <v>1</v>
      </c>
    </row>
    <row r="225" spans="1:6" x14ac:dyDescent="0.2">
      <c r="A225" s="25" t="s">
        <v>952</v>
      </c>
      <c r="B225" s="51" t="s">
        <v>10</v>
      </c>
      <c r="C225" s="35" t="s">
        <v>833</v>
      </c>
      <c r="D225" s="35" t="s">
        <v>84</v>
      </c>
      <c r="E225" s="50">
        <v>1</v>
      </c>
      <c r="F225" s="50">
        <v>5</v>
      </c>
    </row>
    <row r="226" spans="1:6" x14ac:dyDescent="0.2">
      <c r="A226" s="25" t="s">
        <v>953</v>
      </c>
      <c r="B226" s="51" t="s">
        <v>10</v>
      </c>
      <c r="C226" s="35" t="s">
        <v>837</v>
      </c>
      <c r="D226" s="35" t="s">
        <v>57</v>
      </c>
      <c r="E226" s="50">
        <v>1</v>
      </c>
      <c r="F226" s="50">
        <v>2</v>
      </c>
    </row>
    <row r="227" spans="1:6" x14ac:dyDescent="0.2">
      <c r="A227" s="25" t="s">
        <v>954</v>
      </c>
      <c r="B227" s="51" t="s">
        <v>10</v>
      </c>
      <c r="C227" s="35" t="s">
        <v>836</v>
      </c>
      <c r="D227" s="35" t="s">
        <v>84</v>
      </c>
      <c r="E227" s="50">
        <v>1</v>
      </c>
      <c r="F227" s="50">
        <v>3</v>
      </c>
    </row>
    <row r="228" spans="1:6" x14ac:dyDescent="0.2">
      <c r="A228" s="25" t="s">
        <v>955</v>
      </c>
      <c r="B228" s="51" t="s">
        <v>10</v>
      </c>
      <c r="C228" s="35" t="s">
        <v>835</v>
      </c>
      <c r="D228" s="35" t="s">
        <v>95</v>
      </c>
      <c r="E228" s="50">
        <v>1</v>
      </c>
      <c r="F228" s="50">
        <v>2</v>
      </c>
    </row>
    <row r="229" spans="1:6" x14ac:dyDescent="0.2">
      <c r="A229" s="25" t="s">
        <v>956</v>
      </c>
      <c r="B229" s="51" t="s">
        <v>10</v>
      </c>
      <c r="C229" s="35" t="s">
        <v>833</v>
      </c>
      <c r="D229" s="35" t="s">
        <v>185</v>
      </c>
      <c r="E229" s="50">
        <v>1</v>
      </c>
      <c r="F229" s="50">
        <v>3</v>
      </c>
    </row>
    <row r="230" spans="1:6" x14ac:dyDescent="0.2">
      <c r="A230" s="25" t="s">
        <v>957</v>
      </c>
      <c r="B230" s="51" t="s">
        <v>10</v>
      </c>
      <c r="C230" s="35" t="s">
        <v>838</v>
      </c>
      <c r="D230" s="35" t="s">
        <v>99</v>
      </c>
      <c r="E230" s="50">
        <v>1</v>
      </c>
      <c r="F230" s="50">
        <v>4</v>
      </c>
    </row>
    <row r="231" spans="1:6" x14ac:dyDescent="0.2">
      <c r="A231" s="25" t="s">
        <v>958</v>
      </c>
      <c r="B231" s="51" t="s">
        <v>10</v>
      </c>
      <c r="C231" s="35" t="s">
        <v>833</v>
      </c>
      <c r="D231" s="35" t="s">
        <v>65</v>
      </c>
      <c r="E231" s="50">
        <v>1</v>
      </c>
      <c r="F231" s="50">
        <v>4</v>
      </c>
    </row>
    <row r="232" spans="1:6" x14ac:dyDescent="0.2">
      <c r="A232" s="25" t="s">
        <v>959</v>
      </c>
      <c r="B232" s="51" t="s">
        <v>10</v>
      </c>
      <c r="C232" s="35" t="s">
        <v>835</v>
      </c>
      <c r="D232" s="35" t="s">
        <v>69</v>
      </c>
      <c r="E232" s="50">
        <v>1</v>
      </c>
      <c r="F232" s="50">
        <v>3</v>
      </c>
    </row>
    <row r="233" spans="1:6" x14ac:dyDescent="0.2">
      <c r="A233" s="25" t="s">
        <v>960</v>
      </c>
      <c r="B233" s="51" t="s">
        <v>10</v>
      </c>
      <c r="C233" s="35" t="s">
        <v>834</v>
      </c>
      <c r="D233" s="35" t="s">
        <v>88</v>
      </c>
      <c r="E233" s="50">
        <v>1</v>
      </c>
      <c r="F233" s="50">
        <v>4</v>
      </c>
    </row>
    <row r="234" spans="1:6" x14ac:dyDescent="0.2">
      <c r="A234" s="25" t="s">
        <v>420</v>
      </c>
      <c r="B234" s="51" t="s">
        <v>10</v>
      </c>
      <c r="C234" s="35" t="s">
        <v>834</v>
      </c>
      <c r="D234" s="35" t="s">
        <v>99</v>
      </c>
      <c r="E234" s="50">
        <v>1</v>
      </c>
      <c r="F234" s="50">
        <v>1</v>
      </c>
    </row>
    <row r="235" spans="1:6" x14ac:dyDescent="0.2">
      <c r="A235" s="25" t="s">
        <v>961</v>
      </c>
      <c r="B235" s="51" t="s">
        <v>10</v>
      </c>
      <c r="C235" s="35" t="s">
        <v>838</v>
      </c>
      <c r="D235" s="35" t="s">
        <v>95</v>
      </c>
      <c r="E235" s="50">
        <v>1</v>
      </c>
      <c r="F235" s="50">
        <v>1</v>
      </c>
    </row>
    <row r="236" spans="1:6" x14ac:dyDescent="0.2">
      <c r="A236" s="25" t="s">
        <v>962</v>
      </c>
      <c r="B236" s="51" t="s">
        <v>10</v>
      </c>
      <c r="C236" s="35" t="s">
        <v>835</v>
      </c>
      <c r="D236" s="35" t="s">
        <v>172</v>
      </c>
      <c r="E236" s="50">
        <v>1</v>
      </c>
      <c r="F236" s="50">
        <v>1</v>
      </c>
    </row>
    <row r="237" spans="1:6" x14ac:dyDescent="0.2">
      <c r="A237" s="25" t="s">
        <v>963</v>
      </c>
      <c r="B237" s="51" t="s">
        <v>10</v>
      </c>
      <c r="C237" s="35" t="s">
        <v>833</v>
      </c>
      <c r="D237" s="35" t="s">
        <v>164</v>
      </c>
      <c r="E237" s="50">
        <v>1</v>
      </c>
      <c r="F237" s="50">
        <v>3</v>
      </c>
    </row>
    <row r="238" spans="1:6" x14ac:dyDescent="0.2">
      <c r="A238" s="25" t="s">
        <v>964</v>
      </c>
      <c r="B238" s="51" t="s">
        <v>10</v>
      </c>
      <c r="C238" s="35" t="s">
        <v>833</v>
      </c>
      <c r="D238" s="35" t="s">
        <v>36</v>
      </c>
      <c r="E238" s="50">
        <v>1</v>
      </c>
      <c r="F238" s="50">
        <v>2</v>
      </c>
    </row>
    <row r="239" spans="1:6" x14ac:dyDescent="0.2">
      <c r="A239" s="25" t="s">
        <v>76</v>
      </c>
      <c r="B239" s="52" t="s">
        <v>12</v>
      </c>
      <c r="C239" s="35" t="s">
        <v>965</v>
      </c>
      <c r="D239" s="35" t="s">
        <v>77</v>
      </c>
      <c r="E239" s="50">
        <v>30</v>
      </c>
      <c r="F239" s="50">
        <v>250</v>
      </c>
    </row>
    <row r="240" spans="1:6" x14ac:dyDescent="0.2">
      <c r="A240" s="25" t="s">
        <v>440</v>
      </c>
      <c r="B240" s="52" t="s">
        <v>12</v>
      </c>
      <c r="C240" s="35" t="s">
        <v>966</v>
      </c>
      <c r="D240" s="35" t="s">
        <v>84</v>
      </c>
      <c r="E240" s="50">
        <v>28</v>
      </c>
      <c r="F240" s="50">
        <v>240</v>
      </c>
    </row>
    <row r="241" spans="1:6" x14ac:dyDescent="0.2">
      <c r="A241" s="25" t="s">
        <v>80</v>
      </c>
      <c r="B241" s="52" t="s">
        <v>12</v>
      </c>
      <c r="C241" s="35" t="s">
        <v>967</v>
      </c>
      <c r="D241" s="35" t="s">
        <v>40</v>
      </c>
      <c r="E241" s="50">
        <v>27</v>
      </c>
      <c r="F241" s="50">
        <v>230</v>
      </c>
    </row>
    <row r="242" spans="1:6" x14ac:dyDescent="0.2">
      <c r="A242" s="25" t="s">
        <v>446</v>
      </c>
      <c r="B242" s="52" t="s">
        <v>12</v>
      </c>
      <c r="C242" s="35" t="s">
        <v>968</v>
      </c>
      <c r="D242" s="35" t="s">
        <v>61</v>
      </c>
      <c r="E242" s="50">
        <v>26</v>
      </c>
      <c r="F242" s="50">
        <v>200</v>
      </c>
    </row>
    <row r="243" spans="1:6" x14ac:dyDescent="0.2">
      <c r="A243" s="25" t="s">
        <v>450</v>
      </c>
      <c r="B243" s="52" t="s">
        <v>12</v>
      </c>
      <c r="C243" s="35" t="s">
        <v>965</v>
      </c>
      <c r="D243" s="35" t="s">
        <v>149</v>
      </c>
      <c r="E243" s="50">
        <v>25</v>
      </c>
      <c r="F243" s="50">
        <v>180</v>
      </c>
    </row>
    <row r="244" spans="1:6" x14ac:dyDescent="0.2">
      <c r="A244" s="25" t="s">
        <v>453</v>
      </c>
      <c r="B244" s="52" t="s">
        <v>12</v>
      </c>
      <c r="C244" s="35" t="s">
        <v>966</v>
      </c>
      <c r="D244" s="35" t="s">
        <v>149</v>
      </c>
      <c r="E244" s="50">
        <v>22</v>
      </c>
      <c r="F244" s="50">
        <v>128</v>
      </c>
    </row>
    <row r="245" spans="1:6" x14ac:dyDescent="0.2">
      <c r="A245" s="25" t="s">
        <v>456</v>
      </c>
      <c r="B245" s="52" t="s">
        <v>12</v>
      </c>
      <c r="C245" s="35" t="s">
        <v>969</v>
      </c>
      <c r="D245" s="35" t="s">
        <v>77</v>
      </c>
      <c r="E245" s="50">
        <v>19</v>
      </c>
      <c r="F245" s="50">
        <v>102</v>
      </c>
    </row>
    <row r="246" spans="1:6" x14ac:dyDescent="0.2">
      <c r="A246" s="25" t="s">
        <v>463</v>
      </c>
      <c r="B246" s="52" t="s">
        <v>12</v>
      </c>
      <c r="C246" s="35" t="s">
        <v>966</v>
      </c>
      <c r="D246" s="35" t="s">
        <v>77</v>
      </c>
      <c r="E246" s="50">
        <v>18</v>
      </c>
      <c r="F246" s="50">
        <v>90</v>
      </c>
    </row>
    <row r="247" spans="1:6" x14ac:dyDescent="0.2">
      <c r="A247" s="25" t="s">
        <v>459</v>
      </c>
      <c r="B247" s="52" t="s">
        <v>12</v>
      </c>
      <c r="C247" s="35" t="s">
        <v>965</v>
      </c>
      <c r="D247" s="35" t="s">
        <v>185</v>
      </c>
      <c r="E247" s="50">
        <v>18</v>
      </c>
      <c r="F247" s="50">
        <v>100</v>
      </c>
    </row>
    <row r="248" spans="1:6" x14ac:dyDescent="0.2">
      <c r="A248" s="25" t="s">
        <v>469</v>
      </c>
      <c r="B248" s="52" t="s">
        <v>12</v>
      </c>
      <c r="C248" s="35" t="s">
        <v>966</v>
      </c>
      <c r="D248" s="35" t="s">
        <v>153</v>
      </c>
      <c r="E248" s="50">
        <v>17</v>
      </c>
      <c r="F248" s="50">
        <v>87</v>
      </c>
    </row>
    <row r="249" spans="1:6" x14ac:dyDescent="0.2">
      <c r="A249" s="25" t="s">
        <v>466</v>
      </c>
      <c r="B249" s="52" t="s">
        <v>12</v>
      </c>
      <c r="C249" s="35" t="s">
        <v>12</v>
      </c>
      <c r="D249" s="35" t="s">
        <v>40</v>
      </c>
      <c r="E249" s="50">
        <v>17</v>
      </c>
      <c r="F249" s="50">
        <v>80</v>
      </c>
    </row>
    <row r="250" spans="1:6" x14ac:dyDescent="0.2">
      <c r="A250" s="25" t="s">
        <v>539</v>
      </c>
      <c r="B250" s="52" t="s">
        <v>12</v>
      </c>
      <c r="C250" s="35" t="s">
        <v>12</v>
      </c>
      <c r="D250" s="35" t="s">
        <v>164</v>
      </c>
      <c r="E250" s="50">
        <v>17</v>
      </c>
      <c r="F250" s="50">
        <v>68</v>
      </c>
    </row>
    <row r="251" spans="1:6" x14ac:dyDescent="0.2">
      <c r="A251" s="25" t="s">
        <v>480</v>
      </c>
      <c r="B251" s="52" t="s">
        <v>12</v>
      </c>
      <c r="C251" s="35" t="s">
        <v>968</v>
      </c>
      <c r="D251" s="35" t="s">
        <v>88</v>
      </c>
      <c r="E251" s="50">
        <v>16</v>
      </c>
      <c r="F251" s="50">
        <v>91</v>
      </c>
    </row>
    <row r="252" spans="1:6" x14ac:dyDescent="0.2">
      <c r="A252" s="25" t="s">
        <v>83</v>
      </c>
      <c r="B252" s="52" t="s">
        <v>12</v>
      </c>
      <c r="C252" s="35" t="s">
        <v>969</v>
      </c>
      <c r="D252" s="35" t="s">
        <v>84</v>
      </c>
      <c r="E252" s="50">
        <v>15</v>
      </c>
      <c r="F252" s="50">
        <v>98</v>
      </c>
    </row>
    <row r="253" spans="1:6" x14ac:dyDescent="0.2">
      <c r="A253" s="25" t="s">
        <v>483</v>
      </c>
      <c r="B253" s="52" t="s">
        <v>12</v>
      </c>
      <c r="C253" s="35" t="s">
        <v>969</v>
      </c>
      <c r="D253" s="35" t="s">
        <v>44</v>
      </c>
      <c r="E253" s="50">
        <v>14</v>
      </c>
      <c r="F253" s="50">
        <v>80</v>
      </c>
    </row>
    <row r="254" spans="1:6" x14ac:dyDescent="0.2">
      <c r="A254" s="25" t="s">
        <v>494</v>
      </c>
      <c r="B254" s="52" t="s">
        <v>12</v>
      </c>
      <c r="C254" s="35" t="s">
        <v>965</v>
      </c>
      <c r="D254" s="35" t="s">
        <v>153</v>
      </c>
      <c r="E254" s="50">
        <v>13</v>
      </c>
      <c r="F254" s="50">
        <v>61</v>
      </c>
    </row>
    <row r="255" spans="1:6" x14ac:dyDescent="0.2">
      <c r="A255" s="25" t="s">
        <v>87</v>
      </c>
      <c r="B255" s="52" t="s">
        <v>12</v>
      </c>
      <c r="C255" s="35" t="s">
        <v>966</v>
      </c>
      <c r="D255" s="35" t="s">
        <v>88</v>
      </c>
      <c r="E255" s="50">
        <v>13</v>
      </c>
      <c r="F255" s="50">
        <v>64</v>
      </c>
    </row>
    <row r="256" spans="1:6" x14ac:dyDescent="0.2">
      <c r="A256" s="25" t="s">
        <v>970</v>
      </c>
      <c r="B256" s="52" t="s">
        <v>12</v>
      </c>
      <c r="C256" s="35" t="s">
        <v>971</v>
      </c>
      <c r="D256" s="35" t="s">
        <v>164</v>
      </c>
      <c r="E256" s="50">
        <v>12</v>
      </c>
      <c r="F256" s="50">
        <v>56</v>
      </c>
    </row>
    <row r="257" spans="1:6" x14ac:dyDescent="0.2">
      <c r="A257" s="25" t="s">
        <v>503</v>
      </c>
      <c r="B257" s="52" t="s">
        <v>12</v>
      </c>
      <c r="C257" s="35" t="s">
        <v>968</v>
      </c>
      <c r="D257" s="35" t="s">
        <v>164</v>
      </c>
      <c r="E257" s="50">
        <v>12</v>
      </c>
      <c r="F257" s="50">
        <v>60</v>
      </c>
    </row>
    <row r="258" spans="1:6" x14ac:dyDescent="0.2">
      <c r="A258" s="25" t="s">
        <v>519</v>
      </c>
      <c r="B258" s="52" t="s">
        <v>12</v>
      </c>
      <c r="C258" s="35" t="s">
        <v>967</v>
      </c>
      <c r="D258" s="35" t="s">
        <v>73</v>
      </c>
      <c r="E258" s="50">
        <v>12</v>
      </c>
      <c r="F258" s="50">
        <v>45</v>
      </c>
    </row>
    <row r="259" spans="1:6" x14ac:dyDescent="0.2">
      <c r="A259" s="25" t="s">
        <v>500</v>
      </c>
      <c r="B259" s="52" t="s">
        <v>12</v>
      </c>
      <c r="C259" s="35" t="s">
        <v>971</v>
      </c>
      <c r="D259" s="35" t="s">
        <v>153</v>
      </c>
      <c r="E259" s="50">
        <v>12</v>
      </c>
      <c r="F259" s="50">
        <v>58</v>
      </c>
    </row>
    <row r="260" spans="1:6" x14ac:dyDescent="0.2">
      <c r="A260" s="25" t="s">
        <v>506</v>
      </c>
      <c r="B260" s="52" t="s">
        <v>12</v>
      </c>
      <c r="C260" s="35" t="s">
        <v>967</v>
      </c>
      <c r="D260" s="35" t="s">
        <v>149</v>
      </c>
      <c r="E260" s="50">
        <v>12</v>
      </c>
      <c r="F260" s="50">
        <v>50</v>
      </c>
    </row>
    <row r="261" spans="1:6" x14ac:dyDescent="0.2">
      <c r="A261" s="25" t="s">
        <v>509</v>
      </c>
      <c r="B261" s="52" t="s">
        <v>12</v>
      </c>
      <c r="C261" s="35" t="s">
        <v>968</v>
      </c>
      <c r="D261" s="35" t="s">
        <v>77</v>
      </c>
      <c r="E261" s="50">
        <v>12</v>
      </c>
      <c r="F261" s="50">
        <v>32</v>
      </c>
    </row>
    <row r="262" spans="1:6" x14ac:dyDescent="0.2">
      <c r="A262" s="25" t="s">
        <v>497</v>
      </c>
      <c r="B262" s="52" t="s">
        <v>12</v>
      </c>
      <c r="C262" s="35" t="s">
        <v>966</v>
      </c>
      <c r="D262" s="35" t="s">
        <v>73</v>
      </c>
      <c r="E262" s="50">
        <v>12</v>
      </c>
      <c r="F262" s="50">
        <v>42</v>
      </c>
    </row>
    <row r="263" spans="1:6" x14ac:dyDescent="0.2">
      <c r="A263" s="25" t="s">
        <v>536</v>
      </c>
      <c r="B263" s="52" t="s">
        <v>12</v>
      </c>
      <c r="C263" s="35" t="s">
        <v>969</v>
      </c>
      <c r="D263" s="35" t="s">
        <v>57</v>
      </c>
      <c r="E263" s="50">
        <v>11</v>
      </c>
      <c r="F263" s="50">
        <v>30</v>
      </c>
    </row>
    <row r="264" spans="1:6" x14ac:dyDescent="0.2">
      <c r="A264" s="25" t="s">
        <v>533</v>
      </c>
      <c r="B264" s="52" t="s">
        <v>12</v>
      </c>
      <c r="C264" s="35" t="s">
        <v>971</v>
      </c>
      <c r="D264" s="35" t="s">
        <v>61</v>
      </c>
      <c r="E264" s="50">
        <v>11</v>
      </c>
      <c r="F264" s="50">
        <v>37</v>
      </c>
    </row>
    <row r="265" spans="1:6" x14ac:dyDescent="0.2">
      <c r="A265" s="25" t="s">
        <v>531</v>
      </c>
      <c r="B265" s="52" t="s">
        <v>12</v>
      </c>
      <c r="C265" s="35" t="s">
        <v>12</v>
      </c>
      <c r="D265" s="35" t="s">
        <v>84</v>
      </c>
      <c r="E265" s="50">
        <v>11</v>
      </c>
      <c r="F265" s="50">
        <v>54</v>
      </c>
    </row>
    <row r="266" spans="1:6" x14ac:dyDescent="0.2">
      <c r="A266" s="25" t="s">
        <v>565</v>
      </c>
      <c r="B266" s="52" t="s">
        <v>12</v>
      </c>
      <c r="C266" s="35" t="s">
        <v>966</v>
      </c>
      <c r="D266" s="35" t="s">
        <v>44</v>
      </c>
      <c r="E266" s="50">
        <v>10</v>
      </c>
      <c r="F266" s="50">
        <v>37</v>
      </c>
    </row>
    <row r="267" spans="1:6" x14ac:dyDescent="0.2">
      <c r="A267" s="25" t="s">
        <v>562</v>
      </c>
      <c r="B267" s="52" t="s">
        <v>12</v>
      </c>
      <c r="C267" s="35" t="s">
        <v>966</v>
      </c>
      <c r="D267" s="35" t="s">
        <v>185</v>
      </c>
      <c r="E267" s="50">
        <v>10</v>
      </c>
      <c r="F267" s="50">
        <v>41</v>
      </c>
    </row>
    <row r="268" spans="1:6" x14ac:dyDescent="0.2">
      <c r="A268" s="25" t="s">
        <v>568</v>
      </c>
      <c r="B268" s="52" t="s">
        <v>12</v>
      </c>
      <c r="C268" s="35" t="s">
        <v>967</v>
      </c>
      <c r="D268" s="35" t="s">
        <v>36</v>
      </c>
      <c r="E268" s="50">
        <v>10</v>
      </c>
      <c r="F268" s="50">
        <v>42</v>
      </c>
    </row>
    <row r="269" spans="1:6" x14ac:dyDescent="0.2">
      <c r="A269" s="25" t="s">
        <v>570</v>
      </c>
      <c r="B269" s="52" t="s">
        <v>12</v>
      </c>
      <c r="C269" s="35" t="s">
        <v>966</v>
      </c>
      <c r="D269" s="35" t="s">
        <v>36</v>
      </c>
      <c r="E269" s="50">
        <v>10</v>
      </c>
      <c r="F269" s="50">
        <v>28</v>
      </c>
    </row>
    <row r="270" spans="1:6" x14ac:dyDescent="0.2">
      <c r="A270" s="25" t="s">
        <v>583</v>
      </c>
      <c r="B270" s="52" t="s">
        <v>12</v>
      </c>
      <c r="C270" s="35" t="s">
        <v>967</v>
      </c>
      <c r="D270" s="35" t="s">
        <v>77</v>
      </c>
      <c r="E270" s="50">
        <v>10</v>
      </c>
      <c r="F270" s="50">
        <v>38</v>
      </c>
    </row>
    <row r="271" spans="1:6" x14ac:dyDescent="0.2">
      <c r="A271" s="25" t="s">
        <v>525</v>
      </c>
      <c r="B271" s="52" t="s">
        <v>12</v>
      </c>
      <c r="C271" s="35" t="s">
        <v>972</v>
      </c>
      <c r="D271" s="35" t="s">
        <v>84</v>
      </c>
      <c r="E271" s="50">
        <v>10</v>
      </c>
      <c r="F271" s="50">
        <v>47</v>
      </c>
    </row>
    <row r="272" spans="1:6" x14ac:dyDescent="0.2">
      <c r="A272" s="25" t="s">
        <v>528</v>
      </c>
      <c r="B272" s="52" t="s">
        <v>12</v>
      </c>
      <c r="C272" s="35" t="s">
        <v>831</v>
      </c>
      <c r="D272" s="35" t="s">
        <v>149</v>
      </c>
      <c r="E272" s="50">
        <v>10</v>
      </c>
      <c r="F272" s="50">
        <v>43</v>
      </c>
    </row>
    <row r="273" spans="1:6" x14ac:dyDescent="0.2">
      <c r="A273" s="25" t="s">
        <v>94</v>
      </c>
      <c r="B273" s="52" t="s">
        <v>12</v>
      </c>
      <c r="C273" s="35" t="s">
        <v>966</v>
      </c>
      <c r="D273" s="35" t="s">
        <v>95</v>
      </c>
      <c r="E273" s="50">
        <v>10</v>
      </c>
      <c r="F273" s="50">
        <v>41</v>
      </c>
    </row>
    <row r="274" spans="1:6" x14ac:dyDescent="0.2">
      <c r="A274" s="25" t="s">
        <v>973</v>
      </c>
      <c r="B274" s="52" t="s">
        <v>12</v>
      </c>
      <c r="C274" s="35" t="s">
        <v>12</v>
      </c>
      <c r="D274" s="35" t="s">
        <v>164</v>
      </c>
      <c r="E274" s="50">
        <v>10</v>
      </c>
      <c r="F274" s="50">
        <v>41</v>
      </c>
    </row>
    <row r="275" spans="1:6" x14ac:dyDescent="0.2">
      <c r="A275" s="25" t="s">
        <v>522</v>
      </c>
      <c r="B275" s="52" t="s">
        <v>12</v>
      </c>
      <c r="C275" s="35" t="s">
        <v>12</v>
      </c>
      <c r="D275" s="35" t="s">
        <v>40</v>
      </c>
      <c r="E275" s="50">
        <v>10</v>
      </c>
      <c r="F275" s="50">
        <v>41</v>
      </c>
    </row>
    <row r="276" spans="1:6" x14ac:dyDescent="0.2">
      <c r="A276" s="25" t="s">
        <v>554</v>
      </c>
      <c r="B276" s="52" t="s">
        <v>12</v>
      </c>
      <c r="C276" s="35" t="s">
        <v>971</v>
      </c>
      <c r="D276" s="35" t="s">
        <v>61</v>
      </c>
      <c r="E276" s="50">
        <v>9</v>
      </c>
      <c r="F276" s="50">
        <v>21</v>
      </c>
    </row>
    <row r="277" spans="1:6" x14ac:dyDescent="0.2">
      <c r="A277" s="25" t="s">
        <v>974</v>
      </c>
      <c r="B277" s="52" t="s">
        <v>12</v>
      </c>
      <c r="C277" s="35" t="s">
        <v>968</v>
      </c>
      <c r="D277" s="35" t="s">
        <v>88</v>
      </c>
      <c r="E277" s="50">
        <v>9</v>
      </c>
      <c r="F277" s="50">
        <v>28</v>
      </c>
    </row>
    <row r="278" spans="1:6" x14ac:dyDescent="0.2">
      <c r="A278" s="25" t="s">
        <v>512</v>
      </c>
      <c r="B278" s="52" t="s">
        <v>12</v>
      </c>
      <c r="C278" s="35" t="s">
        <v>968</v>
      </c>
      <c r="D278" s="35" t="s">
        <v>88</v>
      </c>
      <c r="E278" s="50">
        <v>9</v>
      </c>
      <c r="F278" s="50">
        <v>25</v>
      </c>
    </row>
    <row r="279" spans="1:6" x14ac:dyDescent="0.2">
      <c r="A279" s="25" t="s">
        <v>975</v>
      </c>
      <c r="B279" s="52" t="s">
        <v>12</v>
      </c>
      <c r="C279" s="35" t="s">
        <v>12</v>
      </c>
      <c r="D279" s="35" t="s">
        <v>95</v>
      </c>
      <c r="E279" s="50">
        <v>9</v>
      </c>
      <c r="F279" s="50">
        <v>20</v>
      </c>
    </row>
    <row r="280" spans="1:6" x14ac:dyDescent="0.2">
      <c r="A280" s="25" t="s">
        <v>577</v>
      </c>
      <c r="B280" s="52" t="s">
        <v>12</v>
      </c>
      <c r="C280" s="35" t="s">
        <v>12</v>
      </c>
      <c r="D280" s="35" t="s">
        <v>153</v>
      </c>
      <c r="E280" s="50">
        <v>9</v>
      </c>
      <c r="F280" s="50">
        <v>28</v>
      </c>
    </row>
    <row r="281" spans="1:6" x14ac:dyDescent="0.2">
      <c r="A281" s="25" t="s">
        <v>91</v>
      </c>
      <c r="B281" s="52" t="s">
        <v>12</v>
      </c>
      <c r="C281" s="35" t="s">
        <v>966</v>
      </c>
      <c r="D281" s="35" t="s">
        <v>73</v>
      </c>
      <c r="E281" s="50">
        <v>9</v>
      </c>
      <c r="F281" s="50">
        <v>32</v>
      </c>
    </row>
    <row r="282" spans="1:6" x14ac:dyDescent="0.2">
      <c r="A282" s="25" t="s">
        <v>551</v>
      </c>
      <c r="B282" s="52" t="s">
        <v>12</v>
      </c>
      <c r="C282" s="35" t="s">
        <v>968</v>
      </c>
      <c r="D282" s="35" t="s">
        <v>61</v>
      </c>
      <c r="E282" s="50">
        <v>8</v>
      </c>
      <c r="F282" s="50">
        <v>25</v>
      </c>
    </row>
    <row r="283" spans="1:6" x14ac:dyDescent="0.2">
      <c r="A283" s="25" t="s">
        <v>976</v>
      </c>
      <c r="B283" s="52" t="s">
        <v>12</v>
      </c>
      <c r="C283" s="35" t="s">
        <v>969</v>
      </c>
      <c r="D283" s="35" t="s">
        <v>206</v>
      </c>
      <c r="E283" s="50">
        <v>8</v>
      </c>
      <c r="F283" s="50">
        <v>25</v>
      </c>
    </row>
    <row r="284" spans="1:6" x14ac:dyDescent="0.2">
      <c r="A284" s="25" t="s">
        <v>977</v>
      </c>
      <c r="B284" s="52" t="s">
        <v>12</v>
      </c>
      <c r="C284" s="35" t="s">
        <v>967</v>
      </c>
      <c r="D284" s="35" t="s">
        <v>36</v>
      </c>
      <c r="E284" s="50">
        <v>8</v>
      </c>
      <c r="F284" s="50">
        <v>29</v>
      </c>
    </row>
    <row r="285" spans="1:6" x14ac:dyDescent="0.2">
      <c r="A285" s="25" t="s">
        <v>978</v>
      </c>
      <c r="B285" s="52" t="s">
        <v>12</v>
      </c>
      <c r="C285" s="35" t="s">
        <v>979</v>
      </c>
      <c r="D285" s="35" t="s">
        <v>40</v>
      </c>
      <c r="E285" s="50">
        <v>8</v>
      </c>
      <c r="F285" s="50">
        <v>37</v>
      </c>
    </row>
    <row r="286" spans="1:6" x14ac:dyDescent="0.2">
      <c r="A286" s="25" t="s">
        <v>980</v>
      </c>
      <c r="B286" s="52" t="s">
        <v>12</v>
      </c>
      <c r="C286" s="35" t="s">
        <v>967</v>
      </c>
      <c r="D286" s="35" t="s">
        <v>153</v>
      </c>
      <c r="E286" s="50">
        <v>8</v>
      </c>
      <c r="F286" s="50">
        <v>23</v>
      </c>
    </row>
    <row r="287" spans="1:6" x14ac:dyDescent="0.2">
      <c r="A287" s="25" t="s">
        <v>981</v>
      </c>
      <c r="B287" s="52" t="s">
        <v>12</v>
      </c>
      <c r="C287" s="35" t="s">
        <v>967</v>
      </c>
      <c r="D287" s="35" t="s">
        <v>164</v>
      </c>
      <c r="E287" s="50">
        <v>8</v>
      </c>
      <c r="F287" s="50">
        <v>32</v>
      </c>
    </row>
    <row r="288" spans="1:6" x14ac:dyDescent="0.2">
      <c r="A288" s="25" t="s">
        <v>580</v>
      </c>
      <c r="B288" s="52" t="s">
        <v>12</v>
      </c>
      <c r="C288" s="35" t="s">
        <v>12</v>
      </c>
      <c r="D288" s="35" t="s">
        <v>153</v>
      </c>
      <c r="E288" s="50">
        <v>8</v>
      </c>
      <c r="F288" s="50">
        <v>25</v>
      </c>
    </row>
    <row r="289" spans="1:6" x14ac:dyDescent="0.2">
      <c r="A289" s="25" t="s">
        <v>545</v>
      </c>
      <c r="B289" s="52" t="s">
        <v>12</v>
      </c>
      <c r="C289" s="35" t="s">
        <v>969</v>
      </c>
      <c r="D289" s="35" t="s">
        <v>61</v>
      </c>
      <c r="E289" s="50">
        <v>8</v>
      </c>
      <c r="F289" s="50">
        <v>22</v>
      </c>
    </row>
    <row r="290" spans="1:6" x14ac:dyDescent="0.2">
      <c r="A290" s="25" t="s">
        <v>548</v>
      </c>
      <c r="B290" s="52" t="s">
        <v>12</v>
      </c>
      <c r="C290" s="35" t="s">
        <v>12</v>
      </c>
      <c r="D290" s="35" t="s">
        <v>40</v>
      </c>
      <c r="E290" s="50">
        <v>8</v>
      </c>
      <c r="F290" s="50">
        <v>26</v>
      </c>
    </row>
    <row r="291" spans="1:6" x14ac:dyDescent="0.2">
      <c r="A291" s="25" t="s">
        <v>982</v>
      </c>
      <c r="B291" s="52" t="s">
        <v>12</v>
      </c>
      <c r="C291" s="35" t="s">
        <v>971</v>
      </c>
      <c r="D291" s="35" t="s">
        <v>84</v>
      </c>
      <c r="E291" s="50">
        <v>8</v>
      </c>
      <c r="F291" s="50">
        <v>34</v>
      </c>
    </row>
    <row r="292" spans="1:6" x14ac:dyDescent="0.2">
      <c r="A292" s="25" t="s">
        <v>603</v>
      </c>
      <c r="B292" s="52" t="s">
        <v>12</v>
      </c>
      <c r="C292" s="35" t="s">
        <v>12</v>
      </c>
      <c r="D292" s="35" t="s">
        <v>65</v>
      </c>
      <c r="E292" s="50">
        <v>7</v>
      </c>
      <c r="F292" s="50">
        <v>36</v>
      </c>
    </row>
    <row r="293" spans="1:6" x14ac:dyDescent="0.2">
      <c r="A293" s="25" t="s">
        <v>614</v>
      </c>
      <c r="B293" s="52" t="s">
        <v>12</v>
      </c>
      <c r="C293" s="35" t="s">
        <v>967</v>
      </c>
      <c r="D293" s="35" t="s">
        <v>69</v>
      </c>
      <c r="E293" s="50">
        <v>7</v>
      </c>
      <c r="F293" s="50">
        <v>25</v>
      </c>
    </row>
    <row r="294" spans="1:6" x14ac:dyDescent="0.2">
      <c r="A294" s="25" t="s">
        <v>983</v>
      </c>
      <c r="B294" s="52" t="s">
        <v>12</v>
      </c>
      <c r="C294" s="35" t="s">
        <v>966</v>
      </c>
      <c r="D294" s="35" t="s">
        <v>172</v>
      </c>
      <c r="E294" s="50">
        <v>7</v>
      </c>
      <c r="F294" s="50">
        <v>19</v>
      </c>
    </row>
    <row r="295" spans="1:6" x14ac:dyDescent="0.2">
      <c r="A295" s="25" t="s">
        <v>984</v>
      </c>
      <c r="B295" s="52" t="s">
        <v>12</v>
      </c>
      <c r="C295" s="35" t="s">
        <v>967</v>
      </c>
      <c r="D295" s="35" t="s">
        <v>61</v>
      </c>
      <c r="E295" s="50">
        <v>7</v>
      </c>
      <c r="F295" s="50">
        <v>18</v>
      </c>
    </row>
    <row r="296" spans="1:6" x14ac:dyDescent="0.2">
      <c r="A296" s="25" t="s">
        <v>985</v>
      </c>
      <c r="B296" s="52" t="s">
        <v>12</v>
      </c>
      <c r="C296" s="35" t="s">
        <v>966</v>
      </c>
      <c r="D296" s="35" t="s">
        <v>40</v>
      </c>
      <c r="E296" s="50">
        <v>7</v>
      </c>
      <c r="F296" s="50">
        <v>13</v>
      </c>
    </row>
    <row r="297" spans="1:6" x14ac:dyDescent="0.2">
      <c r="A297" s="25" t="s">
        <v>986</v>
      </c>
      <c r="B297" s="52" t="s">
        <v>12</v>
      </c>
      <c r="C297" s="35" t="s">
        <v>967</v>
      </c>
      <c r="D297" s="35" t="s">
        <v>57</v>
      </c>
      <c r="E297" s="50">
        <v>7</v>
      </c>
      <c r="F297" s="50">
        <v>19</v>
      </c>
    </row>
    <row r="298" spans="1:6" x14ac:dyDescent="0.2">
      <c r="A298" s="25" t="s">
        <v>987</v>
      </c>
      <c r="B298" s="52" t="s">
        <v>12</v>
      </c>
      <c r="C298" s="35" t="s">
        <v>967</v>
      </c>
      <c r="D298" s="35" t="s">
        <v>73</v>
      </c>
      <c r="E298" s="50">
        <v>7</v>
      </c>
      <c r="F298" s="50">
        <v>24</v>
      </c>
    </row>
    <row r="299" spans="1:6" x14ac:dyDescent="0.2">
      <c r="A299" s="25" t="s">
        <v>988</v>
      </c>
      <c r="B299" s="52" t="s">
        <v>12</v>
      </c>
      <c r="C299" s="35" t="s">
        <v>967</v>
      </c>
      <c r="D299" s="35" t="s">
        <v>84</v>
      </c>
      <c r="E299" s="50">
        <v>7</v>
      </c>
      <c r="F299" s="50">
        <v>20</v>
      </c>
    </row>
    <row r="300" spans="1:6" x14ac:dyDescent="0.2">
      <c r="A300" s="25" t="s">
        <v>989</v>
      </c>
      <c r="B300" s="52" t="s">
        <v>12</v>
      </c>
      <c r="C300" s="35" t="s">
        <v>971</v>
      </c>
      <c r="D300" s="35" t="s">
        <v>44</v>
      </c>
      <c r="E300" s="50">
        <v>7</v>
      </c>
      <c r="F300" s="50">
        <v>27</v>
      </c>
    </row>
    <row r="301" spans="1:6" x14ac:dyDescent="0.2">
      <c r="A301" s="25" t="s">
        <v>600</v>
      </c>
      <c r="B301" s="52" t="s">
        <v>12</v>
      </c>
      <c r="C301" s="35" t="s">
        <v>967</v>
      </c>
      <c r="D301" s="35" t="s">
        <v>206</v>
      </c>
      <c r="E301" s="50">
        <v>7</v>
      </c>
      <c r="F301" s="50">
        <v>20</v>
      </c>
    </row>
    <row r="302" spans="1:6" x14ac:dyDescent="0.2">
      <c r="A302" s="25" t="s">
        <v>990</v>
      </c>
      <c r="B302" s="52" t="s">
        <v>12</v>
      </c>
      <c r="C302" s="35" t="s">
        <v>967</v>
      </c>
      <c r="D302" s="35" t="s">
        <v>57</v>
      </c>
      <c r="E302" s="50">
        <v>7</v>
      </c>
      <c r="F302" s="50">
        <v>14</v>
      </c>
    </row>
    <row r="303" spans="1:6" x14ac:dyDescent="0.2">
      <c r="A303" s="25" t="s">
        <v>991</v>
      </c>
      <c r="B303" s="52" t="s">
        <v>12</v>
      </c>
      <c r="C303" s="35" t="s">
        <v>969</v>
      </c>
      <c r="D303" s="35" t="s">
        <v>185</v>
      </c>
      <c r="E303" s="50">
        <v>7</v>
      </c>
      <c r="F303" s="50">
        <v>23</v>
      </c>
    </row>
    <row r="304" spans="1:6" x14ac:dyDescent="0.2">
      <c r="A304" s="25" t="s">
        <v>992</v>
      </c>
      <c r="B304" s="52" t="s">
        <v>12</v>
      </c>
      <c r="C304" s="35" t="s">
        <v>971</v>
      </c>
      <c r="D304" s="35" t="s">
        <v>95</v>
      </c>
      <c r="E304" s="50">
        <v>7</v>
      </c>
      <c r="F304" s="50">
        <v>23</v>
      </c>
    </row>
    <row r="305" spans="1:6" x14ac:dyDescent="0.2">
      <c r="A305" s="25" t="s">
        <v>993</v>
      </c>
      <c r="B305" s="52" t="s">
        <v>12</v>
      </c>
      <c r="C305" s="35" t="s">
        <v>967</v>
      </c>
      <c r="D305" s="35" t="s">
        <v>172</v>
      </c>
      <c r="E305" s="50">
        <v>6</v>
      </c>
      <c r="F305" s="50">
        <v>13</v>
      </c>
    </row>
    <row r="306" spans="1:6" x14ac:dyDescent="0.2">
      <c r="A306" s="25" t="s">
        <v>994</v>
      </c>
      <c r="B306" s="52" t="s">
        <v>12</v>
      </c>
      <c r="C306" s="35" t="s">
        <v>12</v>
      </c>
      <c r="D306" s="35" t="s">
        <v>206</v>
      </c>
      <c r="E306" s="50">
        <v>6</v>
      </c>
      <c r="F306" s="50">
        <v>16</v>
      </c>
    </row>
    <row r="307" spans="1:6" x14ac:dyDescent="0.2">
      <c r="A307" s="25" t="s">
        <v>608</v>
      </c>
      <c r="B307" s="52" t="s">
        <v>12</v>
      </c>
      <c r="C307" s="35" t="s">
        <v>967</v>
      </c>
      <c r="D307" s="35" t="s">
        <v>199</v>
      </c>
      <c r="E307" s="50">
        <v>6</v>
      </c>
      <c r="F307" s="50">
        <v>19</v>
      </c>
    </row>
    <row r="308" spans="1:6" x14ac:dyDescent="0.2">
      <c r="A308" s="25" t="s">
        <v>995</v>
      </c>
      <c r="B308" s="52" t="s">
        <v>12</v>
      </c>
      <c r="C308" s="35" t="s">
        <v>966</v>
      </c>
      <c r="D308" s="35" t="s">
        <v>77</v>
      </c>
      <c r="E308" s="50">
        <v>6</v>
      </c>
      <c r="F308" s="50">
        <v>20</v>
      </c>
    </row>
    <row r="309" spans="1:6" x14ac:dyDescent="0.2">
      <c r="A309" s="25" t="s">
        <v>996</v>
      </c>
      <c r="B309" s="52" t="s">
        <v>12</v>
      </c>
      <c r="C309" s="35" t="s">
        <v>972</v>
      </c>
      <c r="D309" s="35" t="s">
        <v>149</v>
      </c>
      <c r="E309" s="50">
        <v>6</v>
      </c>
      <c r="F309" s="50">
        <v>11</v>
      </c>
    </row>
    <row r="310" spans="1:6" x14ac:dyDescent="0.2">
      <c r="A310" s="25" t="s">
        <v>997</v>
      </c>
      <c r="B310" s="52" t="s">
        <v>12</v>
      </c>
      <c r="C310" s="35" t="s">
        <v>967</v>
      </c>
      <c r="D310" s="35" t="s">
        <v>99</v>
      </c>
      <c r="E310" s="50">
        <v>6</v>
      </c>
      <c r="F310" s="50">
        <v>14</v>
      </c>
    </row>
    <row r="311" spans="1:6" x14ac:dyDescent="0.2">
      <c r="A311" s="25" t="s">
        <v>998</v>
      </c>
      <c r="B311" s="52" t="s">
        <v>12</v>
      </c>
      <c r="C311" s="35" t="s">
        <v>979</v>
      </c>
      <c r="D311" s="35" t="s">
        <v>57</v>
      </c>
      <c r="E311" s="50">
        <v>6</v>
      </c>
      <c r="F311" s="50">
        <v>18</v>
      </c>
    </row>
    <row r="312" spans="1:6" x14ac:dyDescent="0.2">
      <c r="A312" s="25" t="s">
        <v>589</v>
      </c>
      <c r="B312" s="52" t="s">
        <v>12</v>
      </c>
      <c r="C312" s="35" t="s">
        <v>967</v>
      </c>
      <c r="D312" s="35" t="s">
        <v>185</v>
      </c>
      <c r="E312" s="50">
        <v>6</v>
      </c>
      <c r="F312" s="50">
        <v>20</v>
      </c>
    </row>
    <row r="313" spans="1:6" x14ac:dyDescent="0.2">
      <c r="A313" s="25" t="s">
        <v>999</v>
      </c>
      <c r="B313" s="52" t="s">
        <v>12</v>
      </c>
      <c r="C313" s="35" t="s">
        <v>969</v>
      </c>
      <c r="D313" s="35" t="s">
        <v>77</v>
      </c>
      <c r="E313" s="50">
        <v>6</v>
      </c>
      <c r="F313" s="50">
        <v>22</v>
      </c>
    </row>
    <row r="314" spans="1:6" x14ac:dyDescent="0.2">
      <c r="A314" s="25" t="s">
        <v>1000</v>
      </c>
      <c r="B314" s="52" t="s">
        <v>12</v>
      </c>
      <c r="C314" s="35" t="s">
        <v>967</v>
      </c>
      <c r="D314" s="35" t="s">
        <v>65</v>
      </c>
      <c r="E314" s="50">
        <v>6</v>
      </c>
      <c r="F314" s="50">
        <v>18</v>
      </c>
    </row>
    <row r="315" spans="1:6" x14ac:dyDescent="0.2">
      <c r="A315" s="25" t="s">
        <v>1001</v>
      </c>
      <c r="B315" s="52" t="s">
        <v>12</v>
      </c>
      <c r="C315" s="35" t="s">
        <v>967</v>
      </c>
      <c r="D315" s="35" t="s">
        <v>153</v>
      </c>
      <c r="E315" s="50">
        <v>6</v>
      </c>
      <c r="F315" s="50">
        <v>20</v>
      </c>
    </row>
    <row r="316" spans="1:6" x14ac:dyDescent="0.2">
      <c r="A316" s="25" t="s">
        <v>1002</v>
      </c>
      <c r="B316" s="52" t="s">
        <v>12</v>
      </c>
      <c r="C316" s="35" t="s">
        <v>972</v>
      </c>
      <c r="D316" s="35" t="s">
        <v>99</v>
      </c>
      <c r="E316" s="50">
        <v>6</v>
      </c>
      <c r="F316" s="50">
        <v>19</v>
      </c>
    </row>
    <row r="317" spans="1:6" x14ac:dyDescent="0.2">
      <c r="A317" s="25" t="s">
        <v>1003</v>
      </c>
      <c r="B317" s="52" t="s">
        <v>12</v>
      </c>
      <c r="C317" s="35" t="s">
        <v>967</v>
      </c>
      <c r="D317" s="35" t="s">
        <v>61</v>
      </c>
      <c r="E317" s="50">
        <v>6</v>
      </c>
      <c r="F317" s="50">
        <v>14</v>
      </c>
    </row>
    <row r="318" spans="1:6" x14ac:dyDescent="0.2">
      <c r="A318" s="25" t="s">
        <v>1004</v>
      </c>
      <c r="B318" s="52" t="s">
        <v>12</v>
      </c>
      <c r="C318" s="35" t="s">
        <v>967</v>
      </c>
      <c r="D318" s="35" t="s">
        <v>88</v>
      </c>
      <c r="E318" s="50">
        <v>6</v>
      </c>
      <c r="F318" s="50">
        <v>16</v>
      </c>
    </row>
    <row r="319" spans="1:6" x14ac:dyDescent="0.2">
      <c r="A319" s="25" t="s">
        <v>1005</v>
      </c>
      <c r="B319" s="52" t="s">
        <v>12</v>
      </c>
      <c r="C319" s="35" t="s">
        <v>967</v>
      </c>
      <c r="D319" s="35" t="s">
        <v>172</v>
      </c>
      <c r="E319" s="50">
        <v>6</v>
      </c>
      <c r="F319" s="50">
        <v>14</v>
      </c>
    </row>
    <row r="320" spans="1:6" x14ac:dyDescent="0.2">
      <c r="A320" s="25" t="s">
        <v>1006</v>
      </c>
      <c r="B320" s="52" t="s">
        <v>12</v>
      </c>
      <c r="C320" s="35" t="s">
        <v>972</v>
      </c>
      <c r="D320" s="35" t="s">
        <v>73</v>
      </c>
      <c r="E320" s="50">
        <v>6</v>
      </c>
      <c r="F320" s="50">
        <v>21</v>
      </c>
    </row>
    <row r="321" spans="1:6" x14ac:dyDescent="0.2">
      <c r="A321" s="25" t="s">
        <v>559</v>
      </c>
      <c r="B321" s="52" t="s">
        <v>12</v>
      </c>
      <c r="C321" s="35" t="s">
        <v>972</v>
      </c>
      <c r="D321" s="35" t="s">
        <v>164</v>
      </c>
      <c r="E321" s="50">
        <v>6</v>
      </c>
      <c r="F321" s="50">
        <v>18</v>
      </c>
    </row>
    <row r="322" spans="1:6" x14ac:dyDescent="0.2">
      <c r="A322" s="25" t="s">
        <v>1007</v>
      </c>
      <c r="B322" s="52" t="s">
        <v>12</v>
      </c>
      <c r="C322" s="35" t="s">
        <v>968</v>
      </c>
      <c r="D322" s="35" t="s">
        <v>77</v>
      </c>
      <c r="E322" s="50">
        <v>5</v>
      </c>
      <c r="F322" s="50">
        <v>10</v>
      </c>
    </row>
    <row r="323" spans="1:6" x14ac:dyDescent="0.2">
      <c r="A323" s="25" t="s">
        <v>1008</v>
      </c>
      <c r="B323" s="52" t="s">
        <v>12</v>
      </c>
      <c r="C323" s="35" t="s">
        <v>966</v>
      </c>
      <c r="D323" s="35" t="s">
        <v>95</v>
      </c>
      <c r="E323" s="50">
        <v>5</v>
      </c>
      <c r="F323" s="50">
        <v>14</v>
      </c>
    </row>
    <row r="324" spans="1:6" x14ac:dyDescent="0.2">
      <c r="A324" s="25" t="s">
        <v>1009</v>
      </c>
      <c r="B324" s="52" t="s">
        <v>12</v>
      </c>
      <c r="C324" s="35" t="s">
        <v>967</v>
      </c>
      <c r="D324" s="35" t="s">
        <v>61</v>
      </c>
      <c r="E324" s="50">
        <v>5</v>
      </c>
      <c r="F324" s="50">
        <v>12</v>
      </c>
    </row>
    <row r="325" spans="1:6" x14ac:dyDescent="0.2">
      <c r="A325" s="25" t="s">
        <v>1010</v>
      </c>
      <c r="B325" s="52" t="s">
        <v>12</v>
      </c>
      <c r="C325" s="35" t="s">
        <v>966</v>
      </c>
      <c r="D325" s="35" t="s">
        <v>95</v>
      </c>
      <c r="E325" s="50">
        <v>5</v>
      </c>
      <c r="F325" s="50">
        <v>16</v>
      </c>
    </row>
    <row r="326" spans="1:6" x14ac:dyDescent="0.2">
      <c r="A326" s="25" t="s">
        <v>98</v>
      </c>
      <c r="B326" s="52" t="s">
        <v>12</v>
      </c>
      <c r="C326" s="35" t="s">
        <v>966</v>
      </c>
      <c r="D326" s="35" t="s">
        <v>99</v>
      </c>
      <c r="E326" s="50">
        <v>5</v>
      </c>
      <c r="F326" s="50">
        <v>16</v>
      </c>
    </row>
    <row r="327" spans="1:6" x14ac:dyDescent="0.2">
      <c r="A327" s="25" t="s">
        <v>611</v>
      </c>
      <c r="B327" s="52" t="s">
        <v>12</v>
      </c>
      <c r="C327" s="35" t="s">
        <v>967</v>
      </c>
      <c r="D327" s="35" t="s">
        <v>199</v>
      </c>
      <c r="E327" s="50">
        <v>5</v>
      </c>
      <c r="F327" s="50">
        <v>14</v>
      </c>
    </row>
    <row r="328" spans="1:6" x14ac:dyDescent="0.2">
      <c r="A328" s="25" t="s">
        <v>1011</v>
      </c>
      <c r="B328" s="52" t="s">
        <v>12</v>
      </c>
      <c r="C328" s="35" t="s">
        <v>831</v>
      </c>
      <c r="D328" s="35" t="s">
        <v>44</v>
      </c>
      <c r="E328" s="50">
        <v>5</v>
      </c>
      <c r="F328" s="50">
        <v>18</v>
      </c>
    </row>
    <row r="329" spans="1:6" x14ac:dyDescent="0.2">
      <c r="A329" s="25" t="s">
        <v>1012</v>
      </c>
      <c r="B329" s="52" t="s">
        <v>12</v>
      </c>
      <c r="C329" s="35" t="s">
        <v>966</v>
      </c>
      <c r="D329" s="35" t="s">
        <v>88</v>
      </c>
      <c r="E329" s="50">
        <v>5</v>
      </c>
      <c r="F329" s="50">
        <v>13</v>
      </c>
    </row>
    <row r="330" spans="1:6" x14ac:dyDescent="0.2">
      <c r="A330" s="25" t="s">
        <v>1013</v>
      </c>
      <c r="B330" s="52" t="s">
        <v>12</v>
      </c>
      <c r="C330" s="35" t="s">
        <v>972</v>
      </c>
      <c r="D330" s="35" t="s">
        <v>172</v>
      </c>
      <c r="E330" s="50">
        <v>5</v>
      </c>
      <c r="F330" s="50">
        <v>10</v>
      </c>
    </row>
    <row r="331" spans="1:6" x14ac:dyDescent="0.2">
      <c r="A331" s="25" t="s">
        <v>1014</v>
      </c>
      <c r="B331" s="52" t="s">
        <v>12</v>
      </c>
      <c r="C331" s="35" t="s">
        <v>967</v>
      </c>
      <c r="D331" s="35" t="s">
        <v>149</v>
      </c>
      <c r="E331" s="50">
        <v>5</v>
      </c>
      <c r="F331" s="50">
        <v>23</v>
      </c>
    </row>
    <row r="332" spans="1:6" x14ac:dyDescent="0.2">
      <c r="A332" s="25" t="s">
        <v>1015</v>
      </c>
      <c r="B332" s="52" t="s">
        <v>12</v>
      </c>
      <c r="C332" s="35" t="s">
        <v>966</v>
      </c>
      <c r="D332" s="35" t="s">
        <v>99</v>
      </c>
      <c r="E332" s="50">
        <v>5</v>
      </c>
      <c r="F332" s="50">
        <v>14</v>
      </c>
    </row>
    <row r="333" spans="1:6" x14ac:dyDescent="0.2">
      <c r="A333" s="25" t="s">
        <v>1016</v>
      </c>
      <c r="B333" s="52" t="s">
        <v>12</v>
      </c>
      <c r="C333" s="35" t="s">
        <v>967</v>
      </c>
      <c r="D333" s="35" t="s">
        <v>44</v>
      </c>
      <c r="E333" s="50">
        <v>5</v>
      </c>
      <c r="F333" s="50">
        <v>13</v>
      </c>
    </row>
    <row r="334" spans="1:6" x14ac:dyDescent="0.2">
      <c r="A334" s="25" t="s">
        <v>592</v>
      </c>
      <c r="B334" s="52" t="s">
        <v>12</v>
      </c>
      <c r="C334" s="35" t="s">
        <v>967</v>
      </c>
      <c r="D334" s="35" t="s">
        <v>65</v>
      </c>
      <c r="E334" s="50">
        <v>5</v>
      </c>
      <c r="F334" s="50">
        <v>15</v>
      </c>
    </row>
    <row r="335" spans="1:6" x14ac:dyDescent="0.2">
      <c r="A335" s="25" t="s">
        <v>1017</v>
      </c>
      <c r="B335" s="52" t="s">
        <v>12</v>
      </c>
      <c r="C335" s="35" t="s">
        <v>966</v>
      </c>
      <c r="D335" s="35" t="s">
        <v>164</v>
      </c>
      <c r="E335" s="50">
        <v>5</v>
      </c>
      <c r="F335" s="50">
        <v>14</v>
      </c>
    </row>
    <row r="336" spans="1:6" x14ac:dyDescent="0.2">
      <c r="A336" s="25" t="s">
        <v>1018</v>
      </c>
      <c r="B336" s="52" t="s">
        <v>12</v>
      </c>
      <c r="C336" s="35" t="s">
        <v>967</v>
      </c>
      <c r="D336" s="35" t="s">
        <v>95</v>
      </c>
      <c r="E336" s="50">
        <v>5</v>
      </c>
      <c r="F336" s="50">
        <v>15</v>
      </c>
    </row>
    <row r="337" spans="1:6" x14ac:dyDescent="0.2">
      <c r="A337" s="25" t="s">
        <v>1019</v>
      </c>
      <c r="B337" s="52" t="s">
        <v>12</v>
      </c>
      <c r="C337" s="35" t="s">
        <v>971</v>
      </c>
      <c r="D337" s="35" t="s">
        <v>57</v>
      </c>
      <c r="E337" s="50">
        <v>5</v>
      </c>
      <c r="F337" s="50">
        <v>14</v>
      </c>
    </row>
    <row r="338" spans="1:6" x14ac:dyDescent="0.2">
      <c r="A338" s="25" t="s">
        <v>605</v>
      </c>
      <c r="B338" s="52" t="s">
        <v>12</v>
      </c>
      <c r="C338" s="35" t="s">
        <v>967</v>
      </c>
      <c r="D338" s="35" t="s">
        <v>77</v>
      </c>
      <c r="E338" s="50">
        <v>5</v>
      </c>
      <c r="F338" s="50">
        <v>14</v>
      </c>
    </row>
    <row r="339" spans="1:6" x14ac:dyDescent="0.2">
      <c r="A339" s="25" t="s">
        <v>1020</v>
      </c>
      <c r="B339" s="52" t="s">
        <v>12</v>
      </c>
      <c r="C339" s="35" t="s">
        <v>12</v>
      </c>
      <c r="D339" s="35" t="s">
        <v>40</v>
      </c>
      <c r="E339" s="50">
        <v>5</v>
      </c>
      <c r="F339" s="50">
        <v>19</v>
      </c>
    </row>
    <row r="340" spans="1:6" x14ac:dyDescent="0.2">
      <c r="A340" s="25" t="s">
        <v>1021</v>
      </c>
      <c r="B340" s="52" t="s">
        <v>12</v>
      </c>
      <c r="C340" s="35" t="s">
        <v>968</v>
      </c>
      <c r="D340" s="35" t="s">
        <v>65</v>
      </c>
      <c r="E340" s="50">
        <v>5</v>
      </c>
      <c r="F340" s="50">
        <v>18</v>
      </c>
    </row>
    <row r="341" spans="1:6" x14ac:dyDescent="0.2">
      <c r="A341" s="25" t="s">
        <v>617</v>
      </c>
      <c r="B341" s="52" t="s">
        <v>12</v>
      </c>
      <c r="C341" s="35" t="s">
        <v>966</v>
      </c>
      <c r="D341" s="35" t="s">
        <v>199</v>
      </c>
      <c r="E341" s="50">
        <v>5</v>
      </c>
      <c r="F341" s="50">
        <v>14</v>
      </c>
    </row>
    <row r="342" spans="1:6" x14ac:dyDescent="0.2">
      <c r="A342" s="25" t="s">
        <v>1022</v>
      </c>
      <c r="B342" s="52" t="s">
        <v>12</v>
      </c>
      <c r="C342" s="35" t="s">
        <v>967</v>
      </c>
      <c r="D342" s="35" t="s">
        <v>185</v>
      </c>
      <c r="E342" s="50">
        <v>5</v>
      </c>
      <c r="F342" s="50">
        <v>15</v>
      </c>
    </row>
    <row r="343" spans="1:6" x14ac:dyDescent="0.2">
      <c r="A343" s="25" t="s">
        <v>1023</v>
      </c>
      <c r="B343" s="52" t="s">
        <v>12</v>
      </c>
      <c r="C343" s="35" t="s">
        <v>12</v>
      </c>
      <c r="D343" s="35" t="s">
        <v>36</v>
      </c>
      <c r="E343" s="50">
        <v>5</v>
      </c>
      <c r="F343" s="50">
        <v>17</v>
      </c>
    </row>
    <row r="344" spans="1:6" x14ac:dyDescent="0.2">
      <c r="A344" s="25" t="s">
        <v>1024</v>
      </c>
      <c r="B344" s="52" t="s">
        <v>12</v>
      </c>
      <c r="C344" s="35" t="s">
        <v>967</v>
      </c>
      <c r="D344" s="35" t="s">
        <v>172</v>
      </c>
      <c r="E344" s="50">
        <v>5</v>
      </c>
      <c r="F344" s="50">
        <v>12</v>
      </c>
    </row>
    <row r="345" spans="1:6" x14ac:dyDescent="0.2">
      <c r="A345" s="25" t="s">
        <v>1025</v>
      </c>
      <c r="B345" s="52" t="s">
        <v>12</v>
      </c>
      <c r="C345" s="35" t="s">
        <v>12</v>
      </c>
      <c r="D345" s="35" t="s">
        <v>199</v>
      </c>
      <c r="E345" s="50">
        <v>5</v>
      </c>
      <c r="F345" s="50">
        <v>14</v>
      </c>
    </row>
    <row r="346" spans="1:6" x14ac:dyDescent="0.2">
      <c r="A346" s="25" t="s">
        <v>620</v>
      </c>
      <c r="B346" s="52" t="s">
        <v>12</v>
      </c>
      <c r="C346" s="35" t="s">
        <v>971</v>
      </c>
      <c r="D346" s="35" t="s">
        <v>57</v>
      </c>
      <c r="E346" s="50">
        <v>5</v>
      </c>
      <c r="F346" s="50">
        <v>11</v>
      </c>
    </row>
    <row r="347" spans="1:6" x14ac:dyDescent="0.2">
      <c r="A347" s="25" t="s">
        <v>1026</v>
      </c>
      <c r="B347" s="52" t="s">
        <v>12</v>
      </c>
      <c r="C347" s="35" t="s">
        <v>972</v>
      </c>
      <c r="D347" s="35" t="s">
        <v>69</v>
      </c>
      <c r="E347" s="50">
        <v>5</v>
      </c>
      <c r="F347" s="50">
        <v>13</v>
      </c>
    </row>
    <row r="348" spans="1:6" x14ac:dyDescent="0.2">
      <c r="A348" s="25" t="s">
        <v>1027</v>
      </c>
      <c r="B348" s="52" t="s">
        <v>12</v>
      </c>
      <c r="C348" s="35" t="s">
        <v>968</v>
      </c>
      <c r="D348" s="35" t="s">
        <v>65</v>
      </c>
      <c r="E348" s="50">
        <v>4</v>
      </c>
      <c r="F348" s="50">
        <v>14</v>
      </c>
    </row>
    <row r="349" spans="1:6" x14ac:dyDescent="0.2">
      <c r="A349" s="25" t="s">
        <v>1028</v>
      </c>
      <c r="B349" s="52" t="s">
        <v>12</v>
      </c>
      <c r="C349" s="35" t="s">
        <v>967</v>
      </c>
      <c r="D349" s="35" t="s">
        <v>57</v>
      </c>
      <c r="E349" s="50">
        <v>4</v>
      </c>
      <c r="F349" s="50">
        <v>11</v>
      </c>
    </row>
    <row r="350" spans="1:6" x14ac:dyDescent="0.2">
      <c r="A350" s="25" t="s">
        <v>1029</v>
      </c>
      <c r="B350" s="52" t="s">
        <v>12</v>
      </c>
      <c r="C350" s="35" t="s">
        <v>967</v>
      </c>
      <c r="D350" s="35" t="s">
        <v>88</v>
      </c>
      <c r="E350" s="50">
        <v>4</v>
      </c>
      <c r="F350" s="50">
        <v>12</v>
      </c>
    </row>
    <row r="351" spans="1:6" x14ac:dyDescent="0.2">
      <c r="A351" s="25" t="s">
        <v>1030</v>
      </c>
      <c r="B351" s="52" t="s">
        <v>12</v>
      </c>
      <c r="C351" s="35" t="s">
        <v>967</v>
      </c>
      <c r="D351" s="35" t="s">
        <v>69</v>
      </c>
      <c r="E351" s="50">
        <v>4</v>
      </c>
      <c r="F351" s="50">
        <v>11</v>
      </c>
    </row>
    <row r="352" spans="1:6" x14ac:dyDescent="0.2">
      <c r="A352" s="25" t="s">
        <v>1031</v>
      </c>
      <c r="B352" s="52" t="s">
        <v>12</v>
      </c>
      <c r="C352" s="35" t="s">
        <v>967</v>
      </c>
      <c r="D352" s="35" t="s">
        <v>73</v>
      </c>
      <c r="E352" s="50">
        <v>4</v>
      </c>
      <c r="F352" s="50">
        <v>12</v>
      </c>
    </row>
    <row r="353" spans="1:6" x14ac:dyDescent="0.2">
      <c r="A353" s="25" t="s">
        <v>1032</v>
      </c>
      <c r="B353" s="52" t="s">
        <v>12</v>
      </c>
      <c r="C353" s="35" t="s">
        <v>12</v>
      </c>
      <c r="D353" s="35" t="s">
        <v>164</v>
      </c>
      <c r="E353" s="50">
        <v>4</v>
      </c>
      <c r="F353" s="50">
        <v>12</v>
      </c>
    </row>
    <row r="354" spans="1:6" x14ac:dyDescent="0.2">
      <c r="A354" s="25" t="s">
        <v>1033</v>
      </c>
      <c r="B354" s="52" t="s">
        <v>12</v>
      </c>
      <c r="C354" s="35" t="s">
        <v>967</v>
      </c>
      <c r="D354" s="35" t="s">
        <v>36</v>
      </c>
      <c r="E354" s="50">
        <v>4</v>
      </c>
      <c r="F354" s="50">
        <v>18</v>
      </c>
    </row>
    <row r="355" spans="1:6" x14ac:dyDescent="0.2">
      <c r="A355" s="25" t="s">
        <v>1034</v>
      </c>
      <c r="B355" s="52" t="s">
        <v>12</v>
      </c>
      <c r="C355" s="35" t="s">
        <v>966</v>
      </c>
      <c r="D355" s="35" t="s">
        <v>153</v>
      </c>
      <c r="E355" s="50">
        <v>4</v>
      </c>
      <c r="F355" s="50">
        <v>8</v>
      </c>
    </row>
    <row r="356" spans="1:6" x14ac:dyDescent="0.2">
      <c r="A356" s="25" t="s">
        <v>1035</v>
      </c>
      <c r="B356" s="52" t="s">
        <v>12</v>
      </c>
      <c r="C356" s="35" t="s">
        <v>967</v>
      </c>
      <c r="D356" s="35" t="s">
        <v>44</v>
      </c>
      <c r="E356" s="50">
        <v>4</v>
      </c>
      <c r="F356" s="50">
        <v>13</v>
      </c>
    </row>
    <row r="357" spans="1:6" x14ac:dyDescent="0.2">
      <c r="A357" s="25" t="s">
        <v>1036</v>
      </c>
      <c r="B357" s="52" t="s">
        <v>12</v>
      </c>
      <c r="C357" s="35" t="s">
        <v>966</v>
      </c>
      <c r="D357" s="35" t="s">
        <v>84</v>
      </c>
      <c r="E357" s="50">
        <v>4</v>
      </c>
      <c r="F357" s="50">
        <v>10</v>
      </c>
    </row>
    <row r="358" spans="1:6" x14ac:dyDescent="0.2">
      <c r="A358" s="25" t="s">
        <v>1037</v>
      </c>
      <c r="B358" s="52" t="s">
        <v>12</v>
      </c>
      <c r="C358" s="35" t="s">
        <v>967</v>
      </c>
      <c r="D358" s="35" t="s">
        <v>44</v>
      </c>
      <c r="E358" s="50">
        <v>4</v>
      </c>
      <c r="F358" s="50">
        <v>10</v>
      </c>
    </row>
    <row r="359" spans="1:6" x14ac:dyDescent="0.2">
      <c r="A359" s="25" t="s">
        <v>1038</v>
      </c>
      <c r="B359" s="52" t="s">
        <v>12</v>
      </c>
      <c r="C359" s="35" t="s">
        <v>12</v>
      </c>
      <c r="D359" s="35" t="s">
        <v>149</v>
      </c>
      <c r="E359" s="50">
        <v>4</v>
      </c>
      <c r="F359" s="50">
        <v>11</v>
      </c>
    </row>
    <row r="360" spans="1:6" x14ac:dyDescent="0.2">
      <c r="A360" s="25" t="s">
        <v>102</v>
      </c>
      <c r="B360" s="52" t="s">
        <v>12</v>
      </c>
      <c r="C360" s="35" t="s">
        <v>12</v>
      </c>
      <c r="D360" s="35" t="s">
        <v>69</v>
      </c>
      <c r="E360" s="50">
        <v>4</v>
      </c>
      <c r="F360" s="50">
        <v>12</v>
      </c>
    </row>
    <row r="361" spans="1:6" x14ac:dyDescent="0.2">
      <c r="A361" s="25" t="s">
        <v>1039</v>
      </c>
      <c r="B361" s="52" t="s">
        <v>12</v>
      </c>
      <c r="C361" s="35" t="s">
        <v>966</v>
      </c>
      <c r="D361" s="35" t="s">
        <v>149</v>
      </c>
      <c r="E361" s="50">
        <v>4</v>
      </c>
      <c r="F361" s="50">
        <v>11</v>
      </c>
    </row>
    <row r="362" spans="1:6" x14ac:dyDescent="0.2">
      <c r="A362" s="25" t="s">
        <v>1040</v>
      </c>
      <c r="B362" s="52" t="s">
        <v>12</v>
      </c>
      <c r="C362" s="35" t="s">
        <v>831</v>
      </c>
      <c r="D362" s="35" t="s">
        <v>40</v>
      </c>
      <c r="E362" s="50">
        <v>4</v>
      </c>
      <c r="F362" s="50">
        <v>13</v>
      </c>
    </row>
    <row r="363" spans="1:6" x14ac:dyDescent="0.2">
      <c r="A363" s="25" t="s">
        <v>594</v>
      </c>
      <c r="B363" s="52" t="s">
        <v>12</v>
      </c>
      <c r="C363" s="35" t="s">
        <v>967</v>
      </c>
      <c r="D363" s="35" t="s">
        <v>61</v>
      </c>
      <c r="E363" s="50">
        <v>4</v>
      </c>
      <c r="F363" s="50">
        <v>10</v>
      </c>
    </row>
    <row r="364" spans="1:6" x14ac:dyDescent="0.2">
      <c r="A364" s="25" t="s">
        <v>1041</v>
      </c>
      <c r="B364" s="52" t="s">
        <v>12</v>
      </c>
      <c r="C364" s="35" t="s">
        <v>967</v>
      </c>
      <c r="D364" s="35" t="s">
        <v>99</v>
      </c>
      <c r="E364" s="50">
        <v>4</v>
      </c>
      <c r="F364" s="50">
        <v>11</v>
      </c>
    </row>
    <row r="365" spans="1:6" x14ac:dyDescent="0.2">
      <c r="A365" s="25" t="s">
        <v>1042</v>
      </c>
      <c r="B365" s="52" t="s">
        <v>12</v>
      </c>
      <c r="C365" s="35" t="s">
        <v>968</v>
      </c>
      <c r="D365" s="35" t="s">
        <v>44</v>
      </c>
      <c r="E365" s="50">
        <v>4</v>
      </c>
      <c r="F365" s="50">
        <v>12</v>
      </c>
    </row>
    <row r="366" spans="1:6" x14ac:dyDescent="0.2">
      <c r="A366" s="25" t="s">
        <v>1043</v>
      </c>
      <c r="B366" s="52" t="s">
        <v>12</v>
      </c>
      <c r="C366" s="35" t="s">
        <v>967</v>
      </c>
      <c r="D366" s="35" t="s">
        <v>172</v>
      </c>
      <c r="E366" s="50">
        <v>4</v>
      </c>
      <c r="F366" s="50">
        <v>7</v>
      </c>
    </row>
    <row r="367" spans="1:6" x14ac:dyDescent="0.2">
      <c r="A367" s="25" t="s">
        <v>1044</v>
      </c>
      <c r="B367" s="52" t="s">
        <v>12</v>
      </c>
      <c r="C367" s="35" t="s">
        <v>967</v>
      </c>
      <c r="D367" s="35" t="s">
        <v>149</v>
      </c>
      <c r="E367" s="50">
        <v>4</v>
      </c>
      <c r="F367" s="50">
        <v>11</v>
      </c>
    </row>
    <row r="368" spans="1:6" x14ac:dyDescent="0.2">
      <c r="A368" s="25" t="s">
        <v>1045</v>
      </c>
      <c r="B368" s="52" t="s">
        <v>12</v>
      </c>
      <c r="C368" s="35" t="s">
        <v>968</v>
      </c>
      <c r="D368" s="35" t="s">
        <v>44</v>
      </c>
      <c r="E368" s="50">
        <v>3</v>
      </c>
      <c r="F368" s="50">
        <v>5</v>
      </c>
    </row>
    <row r="369" spans="1:6" x14ac:dyDescent="0.2">
      <c r="A369" s="25" t="s">
        <v>1046</v>
      </c>
      <c r="B369" s="52" t="s">
        <v>12</v>
      </c>
      <c r="C369" s="35" t="s">
        <v>966</v>
      </c>
      <c r="D369" s="35" t="s">
        <v>153</v>
      </c>
      <c r="E369" s="50">
        <v>3</v>
      </c>
      <c r="F369" s="50">
        <v>7</v>
      </c>
    </row>
    <row r="370" spans="1:6" x14ac:dyDescent="0.2">
      <c r="A370" s="25" t="s">
        <v>1047</v>
      </c>
      <c r="B370" s="52" t="s">
        <v>12</v>
      </c>
      <c r="C370" s="35" t="s">
        <v>967</v>
      </c>
      <c r="D370" s="35" t="s">
        <v>206</v>
      </c>
      <c r="E370" s="50">
        <v>3</v>
      </c>
      <c r="F370" s="50">
        <v>7</v>
      </c>
    </row>
    <row r="371" spans="1:6" x14ac:dyDescent="0.2">
      <c r="A371" s="25" t="s">
        <v>1048</v>
      </c>
      <c r="B371" s="52" t="s">
        <v>12</v>
      </c>
      <c r="C371" s="35" t="s">
        <v>967</v>
      </c>
      <c r="D371" s="35" t="s">
        <v>172</v>
      </c>
      <c r="E371" s="50">
        <v>3</v>
      </c>
      <c r="F371" s="50">
        <v>8</v>
      </c>
    </row>
    <row r="372" spans="1:6" x14ac:dyDescent="0.2">
      <c r="A372" s="25" t="s">
        <v>1049</v>
      </c>
      <c r="B372" s="52" t="s">
        <v>12</v>
      </c>
      <c r="C372" s="35" t="s">
        <v>968</v>
      </c>
      <c r="D372" s="35" t="s">
        <v>65</v>
      </c>
      <c r="E372" s="50">
        <v>3</v>
      </c>
      <c r="F372" s="50">
        <v>12</v>
      </c>
    </row>
    <row r="373" spans="1:6" x14ac:dyDescent="0.2">
      <c r="A373" s="25" t="s">
        <v>1050</v>
      </c>
      <c r="B373" s="52" t="s">
        <v>12</v>
      </c>
      <c r="C373" s="35" t="s">
        <v>968</v>
      </c>
      <c r="D373" s="35" t="s">
        <v>61</v>
      </c>
      <c r="E373" s="50">
        <v>3</v>
      </c>
      <c r="F373" s="50">
        <v>8</v>
      </c>
    </row>
    <row r="374" spans="1:6" x14ac:dyDescent="0.2">
      <c r="A374" s="25" t="s">
        <v>1051</v>
      </c>
      <c r="B374" s="52" t="s">
        <v>12</v>
      </c>
      <c r="C374" s="35" t="s">
        <v>972</v>
      </c>
      <c r="D374" s="35" t="s">
        <v>69</v>
      </c>
      <c r="E374" s="50">
        <v>3</v>
      </c>
      <c r="F374" s="50">
        <v>9</v>
      </c>
    </row>
    <row r="375" spans="1:6" x14ac:dyDescent="0.2">
      <c r="A375" s="25" t="s">
        <v>1052</v>
      </c>
      <c r="B375" s="52" t="s">
        <v>12</v>
      </c>
      <c r="C375" s="35" t="s">
        <v>966</v>
      </c>
      <c r="D375" s="35" t="s">
        <v>69</v>
      </c>
      <c r="E375" s="50">
        <v>3</v>
      </c>
      <c r="F375" s="50">
        <v>8</v>
      </c>
    </row>
    <row r="376" spans="1:6" x14ac:dyDescent="0.2">
      <c r="A376" s="25" t="s">
        <v>1053</v>
      </c>
      <c r="B376" s="52" t="s">
        <v>12</v>
      </c>
      <c r="C376" s="35" t="s">
        <v>967</v>
      </c>
      <c r="D376" s="35" t="s">
        <v>84</v>
      </c>
      <c r="E376" s="50">
        <v>3</v>
      </c>
      <c r="F376" s="50">
        <v>9</v>
      </c>
    </row>
    <row r="377" spans="1:6" x14ac:dyDescent="0.2">
      <c r="A377" s="25" t="s">
        <v>1054</v>
      </c>
      <c r="B377" s="52" t="s">
        <v>12</v>
      </c>
      <c r="C377" s="35" t="s">
        <v>966</v>
      </c>
      <c r="D377" s="35" t="s">
        <v>199</v>
      </c>
      <c r="E377" s="50">
        <v>3</v>
      </c>
      <c r="F377" s="50">
        <v>7</v>
      </c>
    </row>
    <row r="378" spans="1:6" x14ac:dyDescent="0.2">
      <c r="A378" s="25" t="s">
        <v>1055</v>
      </c>
      <c r="B378" s="52" t="s">
        <v>12</v>
      </c>
      <c r="C378" s="35" t="s">
        <v>971</v>
      </c>
      <c r="D378" s="35" t="s">
        <v>57</v>
      </c>
      <c r="E378" s="50">
        <v>3</v>
      </c>
      <c r="F378" s="50">
        <v>8</v>
      </c>
    </row>
    <row r="379" spans="1:6" x14ac:dyDescent="0.2">
      <c r="A379" s="25" t="s">
        <v>1056</v>
      </c>
      <c r="B379" s="52" t="s">
        <v>12</v>
      </c>
      <c r="C379" s="35" t="s">
        <v>967</v>
      </c>
      <c r="D379" s="35" t="s">
        <v>185</v>
      </c>
      <c r="E379" s="50">
        <v>3</v>
      </c>
      <c r="F379" s="50">
        <v>12</v>
      </c>
    </row>
    <row r="380" spans="1:6" x14ac:dyDescent="0.2">
      <c r="A380" s="25" t="s">
        <v>1057</v>
      </c>
      <c r="B380" s="52" t="s">
        <v>12</v>
      </c>
      <c r="C380" s="35" t="s">
        <v>966</v>
      </c>
      <c r="D380" s="35" t="s">
        <v>164</v>
      </c>
      <c r="E380" s="50">
        <v>3</v>
      </c>
      <c r="F380" s="50">
        <v>11</v>
      </c>
    </row>
    <row r="381" spans="1:6" x14ac:dyDescent="0.2">
      <c r="A381" s="25" t="s">
        <v>1058</v>
      </c>
      <c r="B381" s="52" t="s">
        <v>12</v>
      </c>
      <c r="C381" s="35" t="s">
        <v>12</v>
      </c>
      <c r="D381" s="35" t="s">
        <v>65</v>
      </c>
      <c r="E381" s="50">
        <v>3</v>
      </c>
      <c r="F381" s="50">
        <v>12</v>
      </c>
    </row>
    <row r="382" spans="1:6" x14ac:dyDescent="0.2">
      <c r="A382" s="25" t="s">
        <v>629</v>
      </c>
      <c r="B382" s="52" t="s">
        <v>12</v>
      </c>
      <c r="C382" s="35" t="s">
        <v>967</v>
      </c>
      <c r="D382" s="35" t="s">
        <v>40</v>
      </c>
      <c r="E382" s="50">
        <v>3</v>
      </c>
      <c r="F382" s="50">
        <v>10</v>
      </c>
    </row>
    <row r="383" spans="1:6" x14ac:dyDescent="0.2">
      <c r="A383" s="25" t="s">
        <v>1059</v>
      </c>
      <c r="B383" s="52" t="s">
        <v>12</v>
      </c>
      <c r="C383" s="35" t="s">
        <v>967</v>
      </c>
      <c r="D383" s="35" t="s">
        <v>73</v>
      </c>
      <c r="E383" s="50">
        <v>3</v>
      </c>
      <c r="F383" s="50">
        <v>7</v>
      </c>
    </row>
    <row r="384" spans="1:6" x14ac:dyDescent="0.2">
      <c r="A384" s="25" t="s">
        <v>1060</v>
      </c>
      <c r="B384" s="52" t="s">
        <v>12</v>
      </c>
      <c r="C384" s="35" t="s">
        <v>967</v>
      </c>
      <c r="D384" s="35" t="s">
        <v>95</v>
      </c>
      <c r="E384" s="50">
        <v>2</v>
      </c>
      <c r="F384" s="50">
        <v>5</v>
      </c>
    </row>
    <row r="385" spans="1:6" x14ac:dyDescent="0.2">
      <c r="A385" s="25" t="s">
        <v>1061</v>
      </c>
      <c r="B385" s="52" t="s">
        <v>12</v>
      </c>
      <c r="C385" s="35" t="s">
        <v>971</v>
      </c>
      <c r="D385" s="35" t="s">
        <v>185</v>
      </c>
      <c r="E385" s="50">
        <v>2</v>
      </c>
      <c r="F385" s="50">
        <v>6</v>
      </c>
    </row>
    <row r="386" spans="1:6" x14ac:dyDescent="0.2">
      <c r="A386" s="25" t="s">
        <v>1062</v>
      </c>
      <c r="B386" s="52" t="s">
        <v>12</v>
      </c>
      <c r="C386" s="35" t="s">
        <v>831</v>
      </c>
      <c r="D386" s="35" t="s">
        <v>206</v>
      </c>
      <c r="E386" s="50">
        <v>2</v>
      </c>
      <c r="F386" s="50">
        <v>6</v>
      </c>
    </row>
    <row r="387" spans="1:6" x14ac:dyDescent="0.2">
      <c r="A387" s="25" t="s">
        <v>1063</v>
      </c>
      <c r="B387" s="52" t="s">
        <v>12</v>
      </c>
      <c r="C387" s="35" t="s">
        <v>12</v>
      </c>
      <c r="D387" s="35" t="s">
        <v>199</v>
      </c>
      <c r="E387" s="50">
        <v>2</v>
      </c>
      <c r="F387" s="50">
        <v>4</v>
      </c>
    </row>
    <row r="388" spans="1:6" x14ac:dyDescent="0.2">
      <c r="A388" s="25" t="s">
        <v>1064</v>
      </c>
      <c r="B388" s="52" t="s">
        <v>12</v>
      </c>
      <c r="C388" s="35" t="s">
        <v>967</v>
      </c>
      <c r="D388" s="35" t="s">
        <v>61</v>
      </c>
      <c r="E388" s="50">
        <v>2</v>
      </c>
      <c r="F388" s="50">
        <v>4</v>
      </c>
    </row>
    <row r="389" spans="1:6" x14ac:dyDescent="0.2">
      <c r="A389" s="25" t="s">
        <v>1065</v>
      </c>
      <c r="B389" s="52" t="s">
        <v>12</v>
      </c>
      <c r="C389" s="35" t="s">
        <v>972</v>
      </c>
      <c r="D389" s="35" t="s">
        <v>77</v>
      </c>
      <c r="E389" s="50">
        <v>2</v>
      </c>
      <c r="F389" s="50">
        <v>3</v>
      </c>
    </row>
    <row r="390" spans="1:6" x14ac:dyDescent="0.2">
      <c r="A390" s="25" t="s">
        <v>1066</v>
      </c>
      <c r="B390" s="52" t="s">
        <v>12</v>
      </c>
      <c r="C390" s="35" t="s">
        <v>966</v>
      </c>
      <c r="D390" s="35" t="s">
        <v>69</v>
      </c>
      <c r="E390" s="50">
        <v>2</v>
      </c>
      <c r="F390" s="50">
        <v>5</v>
      </c>
    </row>
    <row r="391" spans="1:6" x14ac:dyDescent="0.2">
      <c r="A391" s="25" t="s">
        <v>1067</v>
      </c>
      <c r="B391" s="52" t="s">
        <v>12</v>
      </c>
      <c r="C391" s="35" t="s">
        <v>967</v>
      </c>
      <c r="D391" s="35" t="s">
        <v>95</v>
      </c>
      <c r="E391" s="50">
        <v>2</v>
      </c>
      <c r="F391" s="50">
        <v>5</v>
      </c>
    </row>
    <row r="392" spans="1:6" x14ac:dyDescent="0.2">
      <c r="A392" s="25" t="s">
        <v>1068</v>
      </c>
      <c r="B392" s="52" t="s">
        <v>12</v>
      </c>
      <c r="C392" s="35" t="s">
        <v>967</v>
      </c>
      <c r="D392" s="35" t="s">
        <v>99</v>
      </c>
      <c r="E392" s="50">
        <v>2</v>
      </c>
      <c r="F392" s="50">
        <v>5</v>
      </c>
    </row>
    <row r="393" spans="1:6" x14ac:dyDescent="0.2">
      <c r="A393" s="25" t="s">
        <v>1069</v>
      </c>
      <c r="B393" s="52" t="s">
        <v>12</v>
      </c>
      <c r="C393" s="35" t="s">
        <v>967</v>
      </c>
      <c r="D393" s="35" t="s">
        <v>69</v>
      </c>
      <c r="E393" s="50">
        <v>2</v>
      </c>
      <c r="F393" s="50">
        <v>4</v>
      </c>
    </row>
    <row r="394" spans="1:6" x14ac:dyDescent="0.2">
      <c r="A394" s="25" t="s">
        <v>1070</v>
      </c>
      <c r="B394" s="52" t="s">
        <v>12</v>
      </c>
      <c r="C394" s="35" t="s">
        <v>1071</v>
      </c>
      <c r="D394" s="35" t="s">
        <v>149</v>
      </c>
      <c r="E394" s="50">
        <v>2</v>
      </c>
      <c r="F394" s="50">
        <v>6</v>
      </c>
    </row>
    <row r="395" spans="1:6" x14ac:dyDescent="0.2">
      <c r="A395" s="25" t="s">
        <v>1072</v>
      </c>
      <c r="B395" s="52" t="s">
        <v>12</v>
      </c>
      <c r="C395" s="35" t="s">
        <v>967</v>
      </c>
      <c r="D395" s="35" t="s">
        <v>65</v>
      </c>
      <c r="E395" s="50">
        <v>2</v>
      </c>
      <c r="F395" s="50">
        <v>5</v>
      </c>
    </row>
    <row r="396" spans="1:6" x14ac:dyDescent="0.2">
      <c r="A396" s="25" t="s">
        <v>1073</v>
      </c>
      <c r="B396" s="52" t="s">
        <v>12</v>
      </c>
      <c r="C396" s="35" t="s">
        <v>972</v>
      </c>
      <c r="D396" s="35" t="s">
        <v>57</v>
      </c>
      <c r="E396" s="50">
        <v>2</v>
      </c>
      <c r="F396" s="50">
        <v>6</v>
      </c>
    </row>
    <row r="397" spans="1:6" x14ac:dyDescent="0.2">
      <c r="A397" s="25" t="s">
        <v>1074</v>
      </c>
      <c r="B397" s="52" t="s">
        <v>12</v>
      </c>
      <c r="C397" s="35" t="s">
        <v>966</v>
      </c>
      <c r="D397" s="35" t="s">
        <v>44</v>
      </c>
      <c r="E397" s="50">
        <v>1</v>
      </c>
      <c r="F397" s="50">
        <v>4</v>
      </c>
    </row>
    <row r="398" spans="1:6" x14ac:dyDescent="0.2">
      <c r="A398" s="25" t="s">
        <v>1075</v>
      </c>
      <c r="B398" s="52" t="s">
        <v>12</v>
      </c>
      <c r="C398" s="35" t="s">
        <v>967</v>
      </c>
      <c r="D398" s="35" t="s">
        <v>88</v>
      </c>
      <c r="E398" s="50">
        <v>1</v>
      </c>
      <c r="F398" s="50">
        <v>5</v>
      </c>
    </row>
    <row r="399" spans="1:6" x14ac:dyDescent="0.2">
      <c r="A399" s="25" t="s">
        <v>1076</v>
      </c>
      <c r="B399" s="52" t="s">
        <v>12</v>
      </c>
      <c r="C399" s="35" t="s">
        <v>967</v>
      </c>
      <c r="D399" s="35" t="s">
        <v>185</v>
      </c>
      <c r="E399" s="50">
        <v>1</v>
      </c>
      <c r="F399" s="50">
        <v>3</v>
      </c>
    </row>
    <row r="400" spans="1:6" x14ac:dyDescent="0.2">
      <c r="A400" s="25" t="s">
        <v>1077</v>
      </c>
      <c r="B400" s="52" t="s">
        <v>12</v>
      </c>
      <c r="C400" s="35" t="s">
        <v>979</v>
      </c>
      <c r="D400" s="35" t="s">
        <v>65</v>
      </c>
      <c r="E400" s="50">
        <v>1</v>
      </c>
      <c r="F400" s="50">
        <v>3</v>
      </c>
    </row>
    <row r="401" spans="1:6" x14ac:dyDescent="0.2">
      <c r="A401" s="25" t="s">
        <v>1078</v>
      </c>
      <c r="B401" s="52" t="s">
        <v>12</v>
      </c>
      <c r="C401" s="35" t="s">
        <v>12</v>
      </c>
      <c r="D401" s="35" t="s">
        <v>199</v>
      </c>
      <c r="E401" s="50">
        <v>1</v>
      </c>
      <c r="F401" s="50">
        <v>1</v>
      </c>
    </row>
    <row r="402" spans="1:6" x14ac:dyDescent="0.2">
      <c r="A402" s="25" t="s">
        <v>1079</v>
      </c>
      <c r="B402" s="52" t="s">
        <v>12</v>
      </c>
      <c r="C402" s="35" t="s">
        <v>967</v>
      </c>
      <c r="D402" s="35" t="s">
        <v>69</v>
      </c>
      <c r="E402" s="50">
        <v>1</v>
      </c>
      <c r="F402" s="50">
        <v>3</v>
      </c>
    </row>
    <row r="403" spans="1:6" x14ac:dyDescent="0.2">
      <c r="A403" s="25" t="s">
        <v>1080</v>
      </c>
      <c r="B403" s="52" t="s">
        <v>12</v>
      </c>
      <c r="C403" s="35" t="s">
        <v>967</v>
      </c>
      <c r="D403" s="35" t="s">
        <v>99</v>
      </c>
      <c r="E403" s="50">
        <v>1</v>
      </c>
      <c r="F403" s="50">
        <v>1</v>
      </c>
    </row>
    <row r="404" spans="1:6" x14ac:dyDescent="0.2">
      <c r="A404" s="25" t="s">
        <v>1081</v>
      </c>
      <c r="B404" s="52" t="s">
        <v>12</v>
      </c>
      <c r="C404" s="35" t="s">
        <v>967</v>
      </c>
      <c r="D404" s="35" t="s">
        <v>99</v>
      </c>
      <c r="E404" s="50">
        <v>1</v>
      </c>
      <c r="F404" s="50">
        <v>3</v>
      </c>
    </row>
    <row r="405" spans="1:6" x14ac:dyDescent="0.2">
      <c r="A405" s="25" t="s">
        <v>1082</v>
      </c>
      <c r="B405" s="52" t="s">
        <v>12</v>
      </c>
      <c r="C405" s="35" t="s">
        <v>967</v>
      </c>
      <c r="D405" s="35" t="s">
        <v>95</v>
      </c>
      <c r="E405" s="50">
        <v>1</v>
      </c>
      <c r="F405" s="50">
        <v>1</v>
      </c>
    </row>
    <row r="406" spans="1:6" x14ac:dyDescent="0.2">
      <c r="A406" s="25" t="s">
        <v>1083</v>
      </c>
      <c r="B406" s="52" t="s">
        <v>12</v>
      </c>
      <c r="C406" s="35" t="s">
        <v>12</v>
      </c>
      <c r="D406" s="35" t="s">
        <v>44</v>
      </c>
      <c r="E406" s="50">
        <v>1</v>
      </c>
      <c r="F406" s="50">
        <v>4</v>
      </c>
    </row>
    <row r="407" spans="1:6" x14ac:dyDescent="0.2">
      <c r="A407" s="25" t="s">
        <v>1084</v>
      </c>
      <c r="B407" s="52" t="s">
        <v>12</v>
      </c>
      <c r="C407" s="35" t="s">
        <v>967</v>
      </c>
      <c r="D407" s="35" t="s">
        <v>99</v>
      </c>
      <c r="E407" s="50">
        <v>1</v>
      </c>
      <c r="F407" s="50">
        <v>2</v>
      </c>
    </row>
    <row r="408" spans="1:6" x14ac:dyDescent="0.2">
      <c r="A408" s="25" t="s">
        <v>1085</v>
      </c>
      <c r="B408" s="52" t="s">
        <v>12</v>
      </c>
      <c r="C408" s="35" t="s">
        <v>12</v>
      </c>
      <c r="D408" s="35" t="s">
        <v>69</v>
      </c>
      <c r="E408" s="50">
        <v>1</v>
      </c>
      <c r="F408" s="50">
        <v>3</v>
      </c>
    </row>
    <row r="409" spans="1:6" x14ac:dyDescent="0.2">
      <c r="A409" s="25" t="s">
        <v>1086</v>
      </c>
      <c r="B409" s="52" t="s">
        <v>12</v>
      </c>
      <c r="C409" s="35" t="s">
        <v>966</v>
      </c>
      <c r="D409" s="35" t="s">
        <v>77</v>
      </c>
      <c r="E409" s="50">
        <v>1</v>
      </c>
      <c r="F409" s="50">
        <v>1</v>
      </c>
    </row>
    <row r="410" spans="1:6" x14ac:dyDescent="0.2">
      <c r="A410" s="25" t="s">
        <v>1087</v>
      </c>
      <c r="B410" s="52" t="s">
        <v>12</v>
      </c>
      <c r="C410" s="35" t="s">
        <v>967</v>
      </c>
      <c r="D410" s="35" t="s">
        <v>172</v>
      </c>
      <c r="E410" s="50">
        <v>1</v>
      </c>
      <c r="F410" s="50">
        <v>1</v>
      </c>
    </row>
    <row r="411" spans="1:6" x14ac:dyDescent="0.2">
      <c r="A411" s="25" t="s">
        <v>1088</v>
      </c>
      <c r="B411" s="52" t="s">
        <v>12</v>
      </c>
      <c r="C411" s="35" t="s">
        <v>971</v>
      </c>
      <c r="D411" s="35" t="s">
        <v>88</v>
      </c>
      <c r="E411" s="50">
        <v>1</v>
      </c>
      <c r="F411" s="50">
        <v>5</v>
      </c>
    </row>
    <row r="412" spans="1:6" x14ac:dyDescent="0.2">
      <c r="A412" s="25" t="s">
        <v>1089</v>
      </c>
      <c r="B412" s="52" t="s">
        <v>12</v>
      </c>
      <c r="C412" s="35" t="s">
        <v>967</v>
      </c>
      <c r="D412" s="35" t="s">
        <v>185</v>
      </c>
      <c r="E412" s="50">
        <v>1</v>
      </c>
      <c r="F412" s="50">
        <v>4</v>
      </c>
    </row>
    <row r="413" spans="1:6" x14ac:dyDescent="0.2">
      <c r="A413" s="25" t="s">
        <v>105</v>
      </c>
      <c r="B413" s="53" t="s">
        <v>14</v>
      </c>
      <c r="C413" s="35" t="s">
        <v>1090</v>
      </c>
      <c r="D413" s="35" t="s">
        <v>40</v>
      </c>
      <c r="E413" s="50">
        <v>35</v>
      </c>
      <c r="F413" s="50">
        <v>370</v>
      </c>
    </row>
    <row r="414" spans="1:6" x14ac:dyDescent="0.2">
      <c r="A414" s="25" t="s">
        <v>636</v>
      </c>
      <c r="B414" s="53" t="s">
        <v>14</v>
      </c>
      <c r="C414" s="35" t="s">
        <v>1090</v>
      </c>
      <c r="D414" s="35" t="s">
        <v>36</v>
      </c>
      <c r="E414" s="50">
        <v>34</v>
      </c>
      <c r="F414" s="50">
        <v>365</v>
      </c>
    </row>
    <row r="415" spans="1:6" x14ac:dyDescent="0.2">
      <c r="A415" s="25" t="s">
        <v>639</v>
      </c>
      <c r="B415" s="53" t="s">
        <v>14</v>
      </c>
      <c r="C415" s="35" t="s">
        <v>1090</v>
      </c>
      <c r="D415" s="35" t="s">
        <v>40</v>
      </c>
      <c r="E415" s="50">
        <v>29</v>
      </c>
      <c r="F415" s="50">
        <v>280</v>
      </c>
    </row>
    <row r="416" spans="1:6" x14ac:dyDescent="0.2">
      <c r="A416" s="25" t="s">
        <v>108</v>
      </c>
      <c r="B416" s="53" t="s">
        <v>14</v>
      </c>
      <c r="C416" s="35" t="s">
        <v>1090</v>
      </c>
      <c r="D416" s="35" t="s">
        <v>84</v>
      </c>
      <c r="E416" s="50">
        <v>28</v>
      </c>
      <c r="F416" s="50">
        <v>271</v>
      </c>
    </row>
    <row r="417" spans="1:6" x14ac:dyDescent="0.2">
      <c r="A417" s="25" t="s">
        <v>644</v>
      </c>
      <c r="B417" s="53" t="s">
        <v>14</v>
      </c>
      <c r="C417" s="35" t="s">
        <v>1090</v>
      </c>
      <c r="D417" s="35" t="s">
        <v>149</v>
      </c>
      <c r="E417" s="50">
        <v>27</v>
      </c>
      <c r="F417" s="50">
        <v>232</v>
      </c>
    </row>
    <row r="418" spans="1:6" x14ac:dyDescent="0.2">
      <c r="A418" s="25" t="s">
        <v>647</v>
      </c>
      <c r="B418" s="53" t="s">
        <v>14</v>
      </c>
      <c r="C418" s="35" t="s">
        <v>1090</v>
      </c>
      <c r="D418" s="35" t="s">
        <v>164</v>
      </c>
      <c r="E418" s="50">
        <v>26</v>
      </c>
      <c r="F418" s="50">
        <v>225</v>
      </c>
    </row>
    <row r="419" spans="1:6" x14ac:dyDescent="0.2">
      <c r="A419" s="25" t="s">
        <v>650</v>
      </c>
      <c r="B419" s="53" t="s">
        <v>14</v>
      </c>
      <c r="C419" s="35" t="s">
        <v>1090</v>
      </c>
      <c r="D419" s="35" t="s">
        <v>153</v>
      </c>
      <c r="E419" s="50">
        <v>25</v>
      </c>
      <c r="F419" s="50">
        <v>212</v>
      </c>
    </row>
    <row r="420" spans="1:6" x14ac:dyDescent="0.2">
      <c r="A420" s="25" t="s">
        <v>653</v>
      </c>
      <c r="B420" s="53" t="s">
        <v>14</v>
      </c>
      <c r="C420" s="35" t="s">
        <v>14</v>
      </c>
      <c r="D420" s="35" t="s">
        <v>164</v>
      </c>
      <c r="E420" s="50">
        <v>23</v>
      </c>
      <c r="F420" s="50">
        <v>192</v>
      </c>
    </row>
    <row r="421" spans="1:6" x14ac:dyDescent="0.2">
      <c r="A421" s="25" t="s">
        <v>656</v>
      </c>
      <c r="B421" s="53" t="s">
        <v>14</v>
      </c>
      <c r="C421" s="35" t="s">
        <v>1090</v>
      </c>
      <c r="D421" s="35" t="s">
        <v>77</v>
      </c>
      <c r="E421" s="50">
        <v>20</v>
      </c>
      <c r="F421" s="50">
        <v>157</v>
      </c>
    </row>
    <row r="422" spans="1:6" x14ac:dyDescent="0.2">
      <c r="A422" s="25" t="s">
        <v>662</v>
      </c>
      <c r="B422" s="53" t="s">
        <v>14</v>
      </c>
      <c r="C422" s="35" t="s">
        <v>1090</v>
      </c>
      <c r="D422" s="35" t="s">
        <v>185</v>
      </c>
      <c r="E422" s="50">
        <v>19</v>
      </c>
      <c r="F422" s="50">
        <v>122</v>
      </c>
    </row>
    <row r="423" spans="1:6" x14ac:dyDescent="0.2">
      <c r="A423" s="25" t="s">
        <v>111</v>
      </c>
      <c r="B423" s="53" t="s">
        <v>14</v>
      </c>
      <c r="C423" s="35" t="s">
        <v>1090</v>
      </c>
      <c r="D423" s="35" t="s">
        <v>73</v>
      </c>
      <c r="E423" s="50">
        <v>19</v>
      </c>
      <c r="F423" s="50">
        <v>131</v>
      </c>
    </row>
    <row r="424" spans="1:6" x14ac:dyDescent="0.2">
      <c r="A424" s="25" t="s">
        <v>672</v>
      </c>
      <c r="B424" s="53" t="s">
        <v>14</v>
      </c>
      <c r="C424" s="35" t="s">
        <v>14</v>
      </c>
      <c r="D424" s="35" t="s">
        <v>95</v>
      </c>
      <c r="E424" s="50">
        <v>18</v>
      </c>
      <c r="F424" s="50">
        <v>115</v>
      </c>
    </row>
    <row r="425" spans="1:6" x14ac:dyDescent="0.2">
      <c r="A425" s="25" t="s">
        <v>675</v>
      </c>
      <c r="B425" s="53" t="s">
        <v>14</v>
      </c>
      <c r="C425" s="35" t="s">
        <v>1090</v>
      </c>
      <c r="D425" s="35" t="s">
        <v>73</v>
      </c>
      <c r="E425" s="50">
        <v>18</v>
      </c>
      <c r="F425" s="50">
        <v>95</v>
      </c>
    </row>
    <row r="426" spans="1:6" x14ac:dyDescent="0.2">
      <c r="A426" s="25" t="s">
        <v>670</v>
      </c>
      <c r="B426" s="53" t="s">
        <v>14</v>
      </c>
      <c r="C426" s="35" t="s">
        <v>14</v>
      </c>
      <c r="D426" s="35" t="s">
        <v>149</v>
      </c>
      <c r="E426" s="50">
        <v>18</v>
      </c>
      <c r="F426" s="50">
        <v>120</v>
      </c>
    </row>
    <row r="427" spans="1:6" x14ac:dyDescent="0.2">
      <c r="A427" s="25" t="s">
        <v>683</v>
      </c>
      <c r="B427" s="53" t="s">
        <v>14</v>
      </c>
      <c r="C427" s="35" t="s">
        <v>14</v>
      </c>
      <c r="D427" s="35" t="s">
        <v>73</v>
      </c>
      <c r="E427" s="50">
        <v>17</v>
      </c>
      <c r="F427" s="50">
        <v>106</v>
      </c>
    </row>
    <row r="428" spans="1:6" x14ac:dyDescent="0.2">
      <c r="A428" s="25" t="s">
        <v>679</v>
      </c>
      <c r="B428" s="53" t="s">
        <v>14</v>
      </c>
      <c r="C428" s="35" t="s">
        <v>1090</v>
      </c>
      <c r="D428" s="35" t="s">
        <v>61</v>
      </c>
      <c r="E428" s="50">
        <v>16</v>
      </c>
      <c r="F428" s="50">
        <v>84</v>
      </c>
    </row>
    <row r="429" spans="1:6" x14ac:dyDescent="0.2">
      <c r="A429" s="25" t="s">
        <v>687</v>
      </c>
      <c r="B429" s="53" t="s">
        <v>14</v>
      </c>
      <c r="C429" s="35" t="s">
        <v>1090</v>
      </c>
      <c r="D429" s="35" t="s">
        <v>40</v>
      </c>
      <c r="E429" s="50">
        <v>16</v>
      </c>
      <c r="F429" s="50">
        <v>93</v>
      </c>
    </row>
    <row r="430" spans="1:6" x14ac:dyDescent="0.2">
      <c r="A430" s="25" t="s">
        <v>690</v>
      </c>
      <c r="B430" s="53" t="s">
        <v>14</v>
      </c>
      <c r="C430" s="35" t="s">
        <v>14</v>
      </c>
      <c r="D430" s="35" t="s">
        <v>95</v>
      </c>
      <c r="E430" s="50">
        <v>15</v>
      </c>
      <c r="F430" s="50">
        <v>88</v>
      </c>
    </row>
    <row r="431" spans="1:6" x14ac:dyDescent="0.2">
      <c r="A431" s="25" t="s">
        <v>696</v>
      </c>
      <c r="B431" s="53" t="s">
        <v>14</v>
      </c>
      <c r="C431" s="35" t="s">
        <v>1090</v>
      </c>
      <c r="D431" s="35" t="s">
        <v>65</v>
      </c>
      <c r="E431" s="50">
        <v>15</v>
      </c>
      <c r="F431" s="50">
        <v>81</v>
      </c>
    </row>
    <row r="432" spans="1:6" x14ac:dyDescent="0.2">
      <c r="A432" s="25" t="s">
        <v>693</v>
      </c>
      <c r="B432" s="53" t="s">
        <v>14</v>
      </c>
      <c r="C432" s="35" t="s">
        <v>1090</v>
      </c>
      <c r="D432" s="35" t="s">
        <v>44</v>
      </c>
      <c r="E432" s="50">
        <v>15</v>
      </c>
      <c r="F432" s="50">
        <v>82</v>
      </c>
    </row>
    <row r="433" spans="1:6" x14ac:dyDescent="0.2">
      <c r="A433" s="25" t="s">
        <v>703</v>
      </c>
      <c r="B433" s="53" t="s">
        <v>14</v>
      </c>
      <c r="C433" s="35" t="s">
        <v>1090</v>
      </c>
      <c r="D433" s="35" t="s">
        <v>36</v>
      </c>
      <c r="E433" s="50">
        <v>14</v>
      </c>
      <c r="F433" s="50">
        <v>81</v>
      </c>
    </row>
    <row r="434" spans="1:6" x14ac:dyDescent="0.2">
      <c r="A434" s="25" t="s">
        <v>114</v>
      </c>
      <c r="B434" s="53" t="s">
        <v>14</v>
      </c>
      <c r="C434" s="35" t="s">
        <v>14</v>
      </c>
      <c r="D434" s="35" t="s">
        <v>36</v>
      </c>
      <c r="E434" s="50">
        <v>14</v>
      </c>
      <c r="F434" s="50">
        <v>67</v>
      </c>
    </row>
    <row r="435" spans="1:6" x14ac:dyDescent="0.2">
      <c r="A435" s="25" t="s">
        <v>724</v>
      </c>
      <c r="B435" s="53" t="s">
        <v>14</v>
      </c>
      <c r="C435" s="35" t="s">
        <v>968</v>
      </c>
      <c r="D435" s="35" t="s">
        <v>84</v>
      </c>
      <c r="E435" s="50">
        <v>14</v>
      </c>
      <c r="F435" s="50">
        <v>57</v>
      </c>
    </row>
    <row r="436" spans="1:6" x14ac:dyDescent="0.2">
      <c r="A436" s="25" t="s">
        <v>716</v>
      </c>
      <c r="B436" s="53" t="s">
        <v>14</v>
      </c>
      <c r="C436" s="35" t="s">
        <v>14</v>
      </c>
      <c r="D436" s="35" t="s">
        <v>172</v>
      </c>
      <c r="E436" s="50">
        <v>13</v>
      </c>
      <c r="F436" s="50">
        <v>50</v>
      </c>
    </row>
    <row r="437" spans="1:6" x14ac:dyDescent="0.2">
      <c r="A437" s="25" t="s">
        <v>727</v>
      </c>
      <c r="B437" s="53" t="s">
        <v>14</v>
      </c>
      <c r="C437" s="35" t="s">
        <v>1090</v>
      </c>
      <c r="D437" s="35" t="s">
        <v>172</v>
      </c>
      <c r="E437" s="50">
        <v>13</v>
      </c>
      <c r="F437" s="50">
        <v>47</v>
      </c>
    </row>
    <row r="438" spans="1:6" x14ac:dyDescent="0.2">
      <c r="A438" s="25" t="s">
        <v>707</v>
      </c>
      <c r="B438" s="53" t="s">
        <v>14</v>
      </c>
      <c r="C438" s="35" t="s">
        <v>14</v>
      </c>
      <c r="D438" s="35" t="s">
        <v>149</v>
      </c>
      <c r="E438" s="50">
        <v>13</v>
      </c>
      <c r="F438" s="50">
        <v>52</v>
      </c>
    </row>
    <row r="439" spans="1:6" x14ac:dyDescent="0.2">
      <c r="A439" s="25" t="s">
        <v>713</v>
      </c>
      <c r="B439" s="53" t="s">
        <v>14</v>
      </c>
      <c r="C439" s="35" t="s">
        <v>1090</v>
      </c>
      <c r="D439" s="35" t="s">
        <v>95</v>
      </c>
      <c r="E439" s="50">
        <v>13</v>
      </c>
      <c r="F439" s="50">
        <v>55</v>
      </c>
    </row>
    <row r="440" spans="1:6" x14ac:dyDescent="0.2">
      <c r="A440" s="25" t="s">
        <v>710</v>
      </c>
      <c r="B440" s="53" t="s">
        <v>14</v>
      </c>
      <c r="C440" s="35" t="s">
        <v>14</v>
      </c>
      <c r="D440" s="35" t="s">
        <v>73</v>
      </c>
      <c r="E440" s="50">
        <v>13</v>
      </c>
      <c r="F440" s="50">
        <v>62</v>
      </c>
    </row>
    <row r="441" spans="1:6" x14ac:dyDescent="0.2">
      <c r="A441" s="25" t="s">
        <v>721</v>
      </c>
      <c r="B441" s="53" t="s">
        <v>14</v>
      </c>
      <c r="C441" s="35" t="s">
        <v>1090</v>
      </c>
      <c r="D441" s="35" t="s">
        <v>199</v>
      </c>
      <c r="E441" s="50">
        <v>12</v>
      </c>
      <c r="F441" s="50">
        <v>51</v>
      </c>
    </row>
    <row r="442" spans="1:6" x14ac:dyDescent="0.2">
      <c r="A442" s="25" t="s">
        <v>719</v>
      </c>
      <c r="B442" s="53" t="s">
        <v>14</v>
      </c>
      <c r="C442" s="35" t="s">
        <v>14</v>
      </c>
      <c r="D442" s="35" t="s">
        <v>36</v>
      </c>
      <c r="E442" s="50">
        <v>12</v>
      </c>
      <c r="F442" s="50">
        <v>53</v>
      </c>
    </row>
    <row r="443" spans="1:6" x14ac:dyDescent="0.2">
      <c r="A443" s="25" t="s">
        <v>117</v>
      </c>
      <c r="B443" s="53" t="s">
        <v>14</v>
      </c>
      <c r="C443" s="35" t="s">
        <v>1090</v>
      </c>
      <c r="D443" s="35" t="s">
        <v>57</v>
      </c>
      <c r="E443" s="50">
        <v>11</v>
      </c>
      <c r="F443" s="50">
        <v>63</v>
      </c>
    </row>
    <row r="444" spans="1:6" x14ac:dyDescent="0.2">
      <c r="A444" s="25" t="s">
        <v>736</v>
      </c>
      <c r="B444" s="53" t="s">
        <v>14</v>
      </c>
      <c r="C444" s="35" t="s">
        <v>968</v>
      </c>
      <c r="D444" s="35" t="s">
        <v>77</v>
      </c>
      <c r="E444" s="50">
        <v>11</v>
      </c>
      <c r="F444" s="50">
        <v>50</v>
      </c>
    </row>
    <row r="445" spans="1:6" x14ac:dyDescent="0.2">
      <c r="A445" s="25" t="s">
        <v>730</v>
      </c>
      <c r="B445" s="53" t="s">
        <v>14</v>
      </c>
      <c r="C445" s="35" t="s">
        <v>1090</v>
      </c>
      <c r="D445" s="35" t="s">
        <v>65</v>
      </c>
      <c r="E445" s="50">
        <v>11</v>
      </c>
      <c r="F445" s="50">
        <v>43</v>
      </c>
    </row>
    <row r="446" spans="1:6" x14ac:dyDescent="0.2">
      <c r="A446" s="25" t="s">
        <v>762</v>
      </c>
      <c r="B446" s="53" t="s">
        <v>14</v>
      </c>
      <c r="C446" s="35" t="s">
        <v>1090</v>
      </c>
      <c r="D446" s="35" t="s">
        <v>95</v>
      </c>
      <c r="E446" s="50">
        <v>10</v>
      </c>
      <c r="F446" s="50">
        <v>39</v>
      </c>
    </row>
    <row r="447" spans="1:6" x14ac:dyDescent="0.2">
      <c r="A447" s="25" t="s">
        <v>1091</v>
      </c>
      <c r="B447" s="53" t="s">
        <v>14</v>
      </c>
      <c r="C447" s="35" t="s">
        <v>14</v>
      </c>
      <c r="D447" s="35" t="s">
        <v>88</v>
      </c>
      <c r="E447" s="50">
        <v>10</v>
      </c>
      <c r="F447" s="50">
        <v>31</v>
      </c>
    </row>
    <row r="448" spans="1:6" x14ac:dyDescent="0.2">
      <c r="A448" s="25" t="s">
        <v>739</v>
      </c>
      <c r="B448" s="53" t="s">
        <v>14</v>
      </c>
      <c r="C448" s="35" t="s">
        <v>1090</v>
      </c>
      <c r="D448" s="35" t="s">
        <v>84</v>
      </c>
      <c r="E448" s="50">
        <v>10</v>
      </c>
      <c r="F448" s="50">
        <v>45</v>
      </c>
    </row>
    <row r="449" spans="1:6" x14ac:dyDescent="0.2">
      <c r="A449" s="25" t="s">
        <v>787</v>
      </c>
      <c r="B449" s="53" t="s">
        <v>14</v>
      </c>
      <c r="C449" s="35" t="s">
        <v>1090</v>
      </c>
      <c r="D449" s="35" t="s">
        <v>88</v>
      </c>
      <c r="E449" s="50">
        <v>10</v>
      </c>
      <c r="F449" s="50">
        <v>32</v>
      </c>
    </row>
    <row r="450" spans="1:6" x14ac:dyDescent="0.2">
      <c r="A450" s="25" t="s">
        <v>1092</v>
      </c>
      <c r="B450" s="53" t="s">
        <v>14</v>
      </c>
      <c r="C450" s="35" t="s">
        <v>14</v>
      </c>
      <c r="D450" s="35" t="s">
        <v>44</v>
      </c>
      <c r="E450" s="50">
        <v>9</v>
      </c>
      <c r="F450" s="50">
        <v>32</v>
      </c>
    </row>
    <row r="451" spans="1:6" x14ac:dyDescent="0.2">
      <c r="A451" s="25" t="s">
        <v>744</v>
      </c>
      <c r="B451" s="53" t="s">
        <v>14</v>
      </c>
      <c r="C451" s="35" t="s">
        <v>1090</v>
      </c>
      <c r="D451" s="35" t="s">
        <v>206</v>
      </c>
      <c r="E451" s="50">
        <v>9</v>
      </c>
      <c r="F451" s="50">
        <v>33</v>
      </c>
    </row>
    <row r="452" spans="1:6" x14ac:dyDescent="0.2">
      <c r="A452" s="25" t="s">
        <v>759</v>
      </c>
      <c r="B452" s="53" t="s">
        <v>14</v>
      </c>
      <c r="C452" s="35" t="s">
        <v>1090</v>
      </c>
      <c r="D452" s="35" t="s">
        <v>164</v>
      </c>
      <c r="E452" s="50">
        <v>9</v>
      </c>
      <c r="F452" s="50">
        <v>40</v>
      </c>
    </row>
    <row r="453" spans="1:6" x14ac:dyDescent="0.2">
      <c r="A453" s="25" t="s">
        <v>781</v>
      </c>
      <c r="B453" s="53" t="s">
        <v>14</v>
      </c>
      <c r="C453" s="35" t="s">
        <v>1090</v>
      </c>
      <c r="D453" s="35" t="s">
        <v>99</v>
      </c>
      <c r="E453" s="50">
        <v>9</v>
      </c>
      <c r="F453" s="50">
        <v>25</v>
      </c>
    </row>
    <row r="454" spans="1:6" x14ac:dyDescent="0.2">
      <c r="A454" s="25" t="s">
        <v>120</v>
      </c>
      <c r="B454" s="53" t="s">
        <v>14</v>
      </c>
      <c r="C454" s="35" t="s">
        <v>968</v>
      </c>
      <c r="D454" s="35" t="s">
        <v>69</v>
      </c>
      <c r="E454" s="50">
        <v>9</v>
      </c>
      <c r="F454" s="50">
        <v>30</v>
      </c>
    </row>
    <row r="455" spans="1:6" x14ac:dyDescent="0.2">
      <c r="A455" s="25" t="s">
        <v>1093</v>
      </c>
      <c r="B455" s="53" t="s">
        <v>14</v>
      </c>
      <c r="C455" s="35" t="s">
        <v>1090</v>
      </c>
      <c r="D455" s="35" t="s">
        <v>61</v>
      </c>
      <c r="E455" s="50">
        <v>8</v>
      </c>
      <c r="F455" s="50">
        <v>23</v>
      </c>
    </row>
    <row r="456" spans="1:6" x14ac:dyDescent="0.2">
      <c r="A456" s="25" t="s">
        <v>784</v>
      </c>
      <c r="B456" s="53" t="s">
        <v>14</v>
      </c>
      <c r="C456" s="35" t="s">
        <v>1090</v>
      </c>
      <c r="D456" s="35" t="s">
        <v>153</v>
      </c>
      <c r="E456" s="50">
        <v>8</v>
      </c>
      <c r="F456" s="50">
        <v>24</v>
      </c>
    </row>
    <row r="457" spans="1:6" x14ac:dyDescent="0.2">
      <c r="A457" s="25" t="s">
        <v>1094</v>
      </c>
      <c r="B457" s="53" t="s">
        <v>14</v>
      </c>
      <c r="C457" s="35" t="s">
        <v>1090</v>
      </c>
      <c r="D457" s="35" t="s">
        <v>199</v>
      </c>
      <c r="E457" s="50">
        <v>8</v>
      </c>
      <c r="F457" s="50">
        <v>20</v>
      </c>
    </row>
    <row r="458" spans="1:6" x14ac:dyDescent="0.2">
      <c r="A458" s="25" t="s">
        <v>765</v>
      </c>
      <c r="B458" s="53" t="s">
        <v>14</v>
      </c>
      <c r="C458" s="35" t="s">
        <v>14</v>
      </c>
      <c r="D458" s="35" t="s">
        <v>57</v>
      </c>
      <c r="E458" s="50">
        <v>8</v>
      </c>
      <c r="F458" s="50">
        <v>20</v>
      </c>
    </row>
    <row r="459" spans="1:6" x14ac:dyDescent="0.2">
      <c r="A459" s="25" t="s">
        <v>756</v>
      </c>
      <c r="B459" s="53" t="s">
        <v>14</v>
      </c>
      <c r="C459" s="35" t="s">
        <v>14</v>
      </c>
      <c r="D459" s="35" t="s">
        <v>199</v>
      </c>
      <c r="E459" s="50">
        <v>8</v>
      </c>
      <c r="F459" s="50">
        <v>28</v>
      </c>
    </row>
    <row r="460" spans="1:6" x14ac:dyDescent="0.2">
      <c r="A460" s="25" t="s">
        <v>747</v>
      </c>
      <c r="B460" s="53" t="s">
        <v>14</v>
      </c>
      <c r="C460" s="35" t="s">
        <v>1090</v>
      </c>
      <c r="D460" s="35" t="s">
        <v>40</v>
      </c>
      <c r="E460" s="50">
        <v>7</v>
      </c>
      <c r="F460" s="50">
        <v>21</v>
      </c>
    </row>
    <row r="461" spans="1:6" x14ac:dyDescent="0.2">
      <c r="A461" s="25" t="s">
        <v>1095</v>
      </c>
      <c r="B461" s="53" t="s">
        <v>14</v>
      </c>
      <c r="C461" s="35" t="s">
        <v>1090</v>
      </c>
      <c r="D461" s="35" t="s">
        <v>69</v>
      </c>
      <c r="E461" s="50">
        <v>7</v>
      </c>
      <c r="F461" s="50">
        <v>24</v>
      </c>
    </row>
    <row r="462" spans="1:6" x14ac:dyDescent="0.2">
      <c r="A462" s="25" t="s">
        <v>750</v>
      </c>
      <c r="B462" s="53" t="s">
        <v>14</v>
      </c>
      <c r="C462" s="35" t="s">
        <v>1090</v>
      </c>
      <c r="D462" s="35" t="s">
        <v>99</v>
      </c>
      <c r="E462" s="50">
        <v>7</v>
      </c>
      <c r="F462" s="50">
        <v>18</v>
      </c>
    </row>
    <row r="463" spans="1:6" x14ac:dyDescent="0.2">
      <c r="A463" s="25" t="s">
        <v>753</v>
      </c>
      <c r="B463" s="53" t="s">
        <v>14</v>
      </c>
      <c r="C463" s="35" t="s">
        <v>1090</v>
      </c>
      <c r="D463" s="35" t="s">
        <v>44</v>
      </c>
      <c r="E463" s="50">
        <v>7</v>
      </c>
      <c r="F463" s="50">
        <v>18</v>
      </c>
    </row>
    <row r="464" spans="1:6" x14ac:dyDescent="0.2">
      <c r="A464" s="25" t="s">
        <v>778</v>
      </c>
      <c r="B464" s="53" t="s">
        <v>14</v>
      </c>
      <c r="C464" s="35" t="s">
        <v>968</v>
      </c>
      <c r="D464" s="35" t="s">
        <v>164</v>
      </c>
      <c r="E464" s="50">
        <v>6</v>
      </c>
      <c r="F464" s="50">
        <v>25</v>
      </c>
    </row>
    <row r="465" spans="1:6" x14ac:dyDescent="0.2">
      <c r="A465" s="25" t="s">
        <v>1096</v>
      </c>
      <c r="B465" s="53" t="s">
        <v>14</v>
      </c>
      <c r="C465" s="35" t="s">
        <v>1090</v>
      </c>
      <c r="D465" s="35" t="s">
        <v>149</v>
      </c>
      <c r="E465" s="50">
        <v>6</v>
      </c>
      <c r="F465" s="50">
        <v>14</v>
      </c>
    </row>
    <row r="466" spans="1:6" x14ac:dyDescent="0.2">
      <c r="A466" s="25" t="s">
        <v>1097</v>
      </c>
      <c r="B466" s="53" t="s">
        <v>14</v>
      </c>
      <c r="C466" s="35" t="s">
        <v>1090</v>
      </c>
      <c r="D466" s="35" t="s">
        <v>172</v>
      </c>
      <c r="E466" s="50">
        <v>6</v>
      </c>
      <c r="F466" s="50">
        <v>19</v>
      </c>
    </row>
    <row r="467" spans="1:6" x14ac:dyDescent="0.2">
      <c r="A467" s="25" t="s">
        <v>1098</v>
      </c>
      <c r="B467" s="53" t="s">
        <v>14</v>
      </c>
      <c r="C467" s="35" t="s">
        <v>968</v>
      </c>
      <c r="D467" s="35" t="s">
        <v>84</v>
      </c>
      <c r="E467" s="50">
        <v>6</v>
      </c>
      <c r="F467" s="50">
        <v>22</v>
      </c>
    </row>
    <row r="468" spans="1:6" x14ac:dyDescent="0.2">
      <c r="A468" s="25" t="s">
        <v>795</v>
      </c>
      <c r="B468" s="53" t="s">
        <v>14</v>
      </c>
      <c r="C468" s="35" t="s">
        <v>14</v>
      </c>
      <c r="D468" s="35" t="s">
        <v>88</v>
      </c>
      <c r="E468" s="50">
        <v>6</v>
      </c>
      <c r="F468" s="50">
        <v>17</v>
      </c>
    </row>
    <row r="469" spans="1:6" x14ac:dyDescent="0.2">
      <c r="A469" s="25" t="s">
        <v>1099</v>
      </c>
      <c r="B469" s="53" t="s">
        <v>14</v>
      </c>
      <c r="C469" s="35" t="s">
        <v>14</v>
      </c>
      <c r="D469" s="35" t="s">
        <v>73</v>
      </c>
      <c r="E469" s="50">
        <v>6</v>
      </c>
      <c r="F469" s="50">
        <v>16</v>
      </c>
    </row>
    <row r="470" spans="1:6" x14ac:dyDescent="0.2">
      <c r="A470" s="25" t="s">
        <v>1100</v>
      </c>
      <c r="B470" s="53" t="s">
        <v>14</v>
      </c>
      <c r="C470" s="35" t="s">
        <v>1090</v>
      </c>
      <c r="D470" s="35" t="s">
        <v>199</v>
      </c>
      <c r="E470" s="50">
        <v>5</v>
      </c>
      <c r="F470" s="50">
        <v>14</v>
      </c>
    </row>
    <row r="471" spans="1:6" x14ac:dyDescent="0.2">
      <c r="A471" s="25" t="s">
        <v>775</v>
      </c>
      <c r="B471" s="53" t="s">
        <v>14</v>
      </c>
      <c r="C471" s="35" t="s">
        <v>1090</v>
      </c>
      <c r="D471" s="35" t="s">
        <v>149</v>
      </c>
      <c r="E471" s="50">
        <v>5</v>
      </c>
      <c r="F471" s="50">
        <v>18</v>
      </c>
    </row>
    <row r="472" spans="1:6" x14ac:dyDescent="0.2">
      <c r="A472" s="25" t="s">
        <v>1101</v>
      </c>
      <c r="B472" s="53" t="s">
        <v>14</v>
      </c>
      <c r="C472" s="35" t="s">
        <v>14</v>
      </c>
      <c r="D472" s="35" t="s">
        <v>65</v>
      </c>
      <c r="E472" s="50">
        <v>5</v>
      </c>
      <c r="F472" s="50">
        <v>13</v>
      </c>
    </row>
    <row r="473" spans="1:6" x14ac:dyDescent="0.2">
      <c r="A473" s="25" t="s">
        <v>773</v>
      </c>
      <c r="B473" s="53" t="s">
        <v>14</v>
      </c>
      <c r="C473" s="35" t="s">
        <v>965</v>
      </c>
      <c r="D473" s="35" t="s">
        <v>172</v>
      </c>
      <c r="E473" s="50">
        <v>5</v>
      </c>
      <c r="F473" s="50">
        <v>14</v>
      </c>
    </row>
    <row r="474" spans="1:6" x14ac:dyDescent="0.2">
      <c r="A474" s="25" t="s">
        <v>1102</v>
      </c>
      <c r="B474" s="53" t="s">
        <v>14</v>
      </c>
      <c r="C474" s="35" t="s">
        <v>14</v>
      </c>
      <c r="D474" s="35" t="s">
        <v>206</v>
      </c>
      <c r="E474" s="50">
        <v>5</v>
      </c>
      <c r="F474" s="50">
        <v>18</v>
      </c>
    </row>
    <row r="475" spans="1:6" x14ac:dyDescent="0.2">
      <c r="A475" s="25" t="s">
        <v>1103</v>
      </c>
      <c r="B475" s="53" t="s">
        <v>14</v>
      </c>
      <c r="C475" s="35" t="s">
        <v>1090</v>
      </c>
      <c r="D475" s="35" t="s">
        <v>172</v>
      </c>
      <c r="E475" s="50">
        <v>4</v>
      </c>
      <c r="F475" s="50">
        <v>9</v>
      </c>
    </row>
    <row r="476" spans="1:6" x14ac:dyDescent="0.2">
      <c r="A476" s="25" t="s">
        <v>1104</v>
      </c>
      <c r="B476" s="53" t="s">
        <v>14</v>
      </c>
      <c r="C476" s="35" t="s">
        <v>14</v>
      </c>
      <c r="D476" s="35" t="s">
        <v>84</v>
      </c>
      <c r="E476" s="50">
        <v>4</v>
      </c>
      <c r="F476" s="50">
        <v>10</v>
      </c>
    </row>
    <row r="477" spans="1:6" x14ac:dyDescent="0.2">
      <c r="A477" s="25" t="s">
        <v>1105</v>
      </c>
      <c r="B477" s="53" t="s">
        <v>14</v>
      </c>
      <c r="C477" s="35" t="s">
        <v>1090</v>
      </c>
      <c r="D477" s="35" t="s">
        <v>185</v>
      </c>
      <c r="E477" s="50">
        <v>4</v>
      </c>
      <c r="F477" s="50">
        <v>7</v>
      </c>
    </row>
    <row r="478" spans="1:6" x14ac:dyDescent="0.2">
      <c r="A478" s="25" t="s">
        <v>1106</v>
      </c>
      <c r="B478" s="53" t="s">
        <v>14</v>
      </c>
      <c r="C478" s="35" t="s">
        <v>1090</v>
      </c>
      <c r="D478" s="35" t="s">
        <v>57</v>
      </c>
      <c r="E478" s="50">
        <v>4</v>
      </c>
      <c r="F478" s="50">
        <v>9</v>
      </c>
    </row>
    <row r="479" spans="1:6" x14ac:dyDescent="0.2">
      <c r="A479" s="25" t="s">
        <v>1107</v>
      </c>
      <c r="B479" s="53" t="s">
        <v>14</v>
      </c>
      <c r="C479" s="35" t="s">
        <v>1090</v>
      </c>
      <c r="D479" s="35" t="s">
        <v>44</v>
      </c>
      <c r="E479" s="50">
        <v>4</v>
      </c>
      <c r="F479" s="50">
        <v>9</v>
      </c>
    </row>
    <row r="480" spans="1:6" x14ac:dyDescent="0.2">
      <c r="A480" s="25" t="s">
        <v>1108</v>
      </c>
      <c r="B480" s="53" t="s">
        <v>14</v>
      </c>
      <c r="C480" s="35" t="s">
        <v>968</v>
      </c>
      <c r="D480" s="35" t="s">
        <v>69</v>
      </c>
      <c r="E480" s="50">
        <v>4</v>
      </c>
      <c r="F480" s="50">
        <v>15</v>
      </c>
    </row>
    <row r="481" spans="1:6" x14ac:dyDescent="0.2">
      <c r="A481" s="25" t="s">
        <v>790</v>
      </c>
      <c r="B481" s="53" t="s">
        <v>14</v>
      </c>
      <c r="C481" s="35" t="s">
        <v>1090</v>
      </c>
      <c r="D481" s="35" t="s">
        <v>172</v>
      </c>
      <c r="E481" s="50">
        <v>4</v>
      </c>
      <c r="F481" s="50">
        <v>9</v>
      </c>
    </row>
    <row r="482" spans="1:6" x14ac:dyDescent="0.2">
      <c r="A482" s="25" t="s">
        <v>1109</v>
      </c>
      <c r="B482" s="53" t="s">
        <v>14</v>
      </c>
      <c r="C482" s="35" t="s">
        <v>1090</v>
      </c>
      <c r="D482" s="35" t="s">
        <v>77</v>
      </c>
      <c r="E482" s="50">
        <v>4</v>
      </c>
      <c r="F482" s="50">
        <v>10</v>
      </c>
    </row>
    <row r="483" spans="1:6" x14ac:dyDescent="0.2">
      <c r="A483" s="25" t="s">
        <v>1110</v>
      </c>
      <c r="B483" s="53" t="s">
        <v>14</v>
      </c>
      <c r="C483" s="35" t="s">
        <v>14</v>
      </c>
      <c r="D483" s="35" t="s">
        <v>206</v>
      </c>
      <c r="E483" s="50">
        <v>4</v>
      </c>
      <c r="F483" s="50">
        <v>10</v>
      </c>
    </row>
    <row r="484" spans="1:6" x14ac:dyDescent="0.2">
      <c r="A484" s="25" t="s">
        <v>792</v>
      </c>
      <c r="B484" s="53" t="s">
        <v>14</v>
      </c>
      <c r="C484" s="35" t="s">
        <v>14</v>
      </c>
      <c r="D484" s="35" t="s">
        <v>164</v>
      </c>
      <c r="E484" s="50">
        <v>3</v>
      </c>
      <c r="F484" s="50">
        <v>10</v>
      </c>
    </row>
    <row r="485" spans="1:6" x14ac:dyDescent="0.2">
      <c r="A485" s="25" t="s">
        <v>1111</v>
      </c>
      <c r="B485" s="53" t="s">
        <v>14</v>
      </c>
      <c r="C485" s="35" t="s">
        <v>1090</v>
      </c>
      <c r="D485" s="35" t="s">
        <v>65</v>
      </c>
      <c r="E485" s="50">
        <v>3</v>
      </c>
      <c r="F485" s="50">
        <v>11</v>
      </c>
    </row>
    <row r="486" spans="1:6" x14ac:dyDescent="0.2">
      <c r="A486" s="25" t="s">
        <v>1112</v>
      </c>
      <c r="B486" s="53" t="s">
        <v>14</v>
      </c>
      <c r="C486" s="35" t="s">
        <v>968</v>
      </c>
      <c r="D486" s="35" t="s">
        <v>77</v>
      </c>
      <c r="E486" s="50">
        <v>3</v>
      </c>
      <c r="F486" s="50">
        <v>5</v>
      </c>
    </row>
    <row r="487" spans="1:6" x14ac:dyDescent="0.2">
      <c r="A487" s="25" t="s">
        <v>1113</v>
      </c>
      <c r="B487" s="53" t="s">
        <v>14</v>
      </c>
      <c r="C487" s="35" t="s">
        <v>14</v>
      </c>
      <c r="D487" s="35" t="s">
        <v>84</v>
      </c>
      <c r="E487" s="50">
        <v>3</v>
      </c>
      <c r="F487" s="50">
        <v>10</v>
      </c>
    </row>
    <row r="488" spans="1:6" x14ac:dyDescent="0.2">
      <c r="A488" s="25" t="s">
        <v>1114</v>
      </c>
      <c r="B488" s="53" t="s">
        <v>14</v>
      </c>
      <c r="C488" s="35" t="s">
        <v>1090</v>
      </c>
      <c r="D488" s="35" t="s">
        <v>84</v>
      </c>
      <c r="E488" s="50">
        <v>3</v>
      </c>
      <c r="F488" s="50">
        <v>10</v>
      </c>
    </row>
    <row r="489" spans="1:6" x14ac:dyDescent="0.2">
      <c r="A489" s="25" t="s">
        <v>1115</v>
      </c>
      <c r="B489" s="53" t="s">
        <v>14</v>
      </c>
      <c r="C489" s="35" t="s">
        <v>968</v>
      </c>
      <c r="D489" s="35" t="s">
        <v>99</v>
      </c>
      <c r="E489" s="50">
        <v>3</v>
      </c>
      <c r="F489" s="50">
        <v>9</v>
      </c>
    </row>
    <row r="490" spans="1:6" x14ac:dyDescent="0.2">
      <c r="A490" s="25" t="s">
        <v>1116</v>
      </c>
      <c r="B490" s="53" t="s">
        <v>14</v>
      </c>
      <c r="C490" s="35" t="s">
        <v>1090</v>
      </c>
      <c r="D490" s="35" t="s">
        <v>206</v>
      </c>
      <c r="E490" s="50">
        <v>3</v>
      </c>
      <c r="F490" s="50">
        <v>7</v>
      </c>
    </row>
    <row r="491" spans="1:6" x14ac:dyDescent="0.2">
      <c r="A491" s="25" t="s">
        <v>1117</v>
      </c>
      <c r="B491" s="53" t="s">
        <v>14</v>
      </c>
      <c r="C491" s="35" t="s">
        <v>1090</v>
      </c>
      <c r="D491" s="35" t="s">
        <v>185</v>
      </c>
      <c r="E491" s="50">
        <v>2</v>
      </c>
      <c r="F491" s="50">
        <v>4</v>
      </c>
    </row>
    <row r="492" spans="1:6" x14ac:dyDescent="0.2">
      <c r="A492" s="25" t="s">
        <v>1118</v>
      </c>
      <c r="B492" s="53" t="s">
        <v>14</v>
      </c>
      <c r="C492" s="35" t="s">
        <v>1090</v>
      </c>
      <c r="D492" s="35" t="s">
        <v>206</v>
      </c>
      <c r="E492" s="50">
        <v>2</v>
      </c>
      <c r="F492" s="50">
        <v>5</v>
      </c>
    </row>
    <row r="493" spans="1:6" x14ac:dyDescent="0.2">
      <c r="A493" s="25" t="s">
        <v>1119</v>
      </c>
      <c r="B493" s="53" t="s">
        <v>14</v>
      </c>
      <c r="C493" s="35" t="s">
        <v>14</v>
      </c>
      <c r="D493" s="35" t="s">
        <v>172</v>
      </c>
      <c r="E493" s="50">
        <v>1</v>
      </c>
      <c r="F493" s="50">
        <v>1</v>
      </c>
    </row>
    <row r="494" spans="1:6" x14ac:dyDescent="0.2">
      <c r="A494" s="25" t="s">
        <v>1120</v>
      </c>
      <c r="B494" s="53" t="s">
        <v>14</v>
      </c>
      <c r="C494" s="35" t="s">
        <v>1090</v>
      </c>
      <c r="D494" s="35" t="s">
        <v>77</v>
      </c>
      <c r="E494" s="50">
        <v>1</v>
      </c>
      <c r="F494" s="50">
        <v>1</v>
      </c>
    </row>
    <row r="495" spans="1:6" x14ac:dyDescent="0.2">
      <c r="A495" s="25" t="s">
        <v>1121</v>
      </c>
      <c r="B495" s="53" t="s">
        <v>14</v>
      </c>
      <c r="C495" s="35" t="s">
        <v>1090</v>
      </c>
      <c r="D495" s="35" t="s">
        <v>185</v>
      </c>
      <c r="E495" s="50">
        <v>1</v>
      </c>
      <c r="F495" s="50">
        <v>3</v>
      </c>
    </row>
    <row r="496" spans="1:6" x14ac:dyDescent="0.2">
      <c r="A496" s="25" t="s">
        <v>1122</v>
      </c>
      <c r="B496" s="53" t="s">
        <v>14</v>
      </c>
      <c r="C496" s="35" t="s">
        <v>1090</v>
      </c>
      <c r="D496" s="35" t="s">
        <v>199</v>
      </c>
      <c r="E496" s="50">
        <v>1</v>
      </c>
      <c r="F496" s="50">
        <v>1</v>
      </c>
    </row>
    <row r="497" spans="1:6" x14ac:dyDescent="0.2">
      <c r="A497" s="25" t="s">
        <v>1123</v>
      </c>
      <c r="B497" s="53" t="s">
        <v>14</v>
      </c>
      <c r="C497" s="35" t="s">
        <v>968</v>
      </c>
      <c r="D497" s="35" t="s">
        <v>199</v>
      </c>
      <c r="E497" s="50">
        <v>1</v>
      </c>
      <c r="F497" s="50">
        <v>1</v>
      </c>
    </row>
    <row r="498" spans="1:6" x14ac:dyDescent="0.2">
      <c r="A498" s="25" t="s">
        <v>1124</v>
      </c>
      <c r="B498" s="53" t="s">
        <v>14</v>
      </c>
      <c r="C498" s="35" t="s">
        <v>1090</v>
      </c>
      <c r="D498" s="35" t="s">
        <v>95</v>
      </c>
      <c r="E498" s="50">
        <v>1</v>
      </c>
      <c r="F498" s="50">
        <v>1</v>
      </c>
    </row>
    <row r="499" spans="1:6" x14ac:dyDescent="0.2">
      <c r="A499" s="25" t="s">
        <v>1125</v>
      </c>
      <c r="B499" s="53" t="s">
        <v>14</v>
      </c>
      <c r="C499" s="35" t="s">
        <v>1090</v>
      </c>
      <c r="D499" s="35" t="s">
        <v>172</v>
      </c>
      <c r="E499" s="50">
        <v>1</v>
      </c>
      <c r="F499" s="50">
        <v>2</v>
      </c>
    </row>
    <row r="500" spans="1:6" x14ac:dyDescent="0.2">
      <c r="A500" s="25" t="s">
        <v>1126</v>
      </c>
      <c r="B500" s="53" t="s">
        <v>14</v>
      </c>
      <c r="C500" s="35" t="s">
        <v>1090</v>
      </c>
      <c r="D500" s="35" t="s">
        <v>36</v>
      </c>
      <c r="E500" s="50">
        <v>1</v>
      </c>
      <c r="F500" s="50">
        <v>4</v>
      </c>
    </row>
  </sheetData>
  <autoFilter ref="A3:F500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Asta</vt:lpstr>
      <vt:lpstr>Grafici</vt:lpstr>
      <vt:lpstr>Portieri</vt:lpstr>
      <vt:lpstr>Difensori</vt:lpstr>
      <vt:lpstr>Centrocampisti</vt:lpstr>
      <vt:lpstr>Attaccanti</vt:lpstr>
      <vt:lpstr>Listone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Andrea Margiovanni</cp:lastModifiedBy>
  <cp:revision>1</cp:revision>
  <dcterms:created xsi:type="dcterms:W3CDTF">2026-08-11T11:59:54Z</dcterms:created>
  <dcterms:modified xsi:type="dcterms:W3CDTF">2026-08-11T12:05:11Z</dcterms:modified>
  <dc:language>en-US</dc:language>
</cp:coreProperties>
</file>